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sazo\Box\_Papers\mine\Vaping with FRIENDS\IEEE_Instrumentation_measurement\response to reviews\data and scripts\"/>
    </mc:Choice>
  </mc:AlternateContent>
  <xr:revisionPtr revIDLastSave="0" documentId="8_{B8BBDD70-C2FD-47AA-9E20-635DA3235063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Per_Participant" sheetId="1" r:id="rId1"/>
    <sheet name="Pooled_Summary" sheetId="2" r:id="rId2"/>
    <sheet name="Mean_Median_Mode" sheetId="3" r:id="rId3"/>
    <sheet name="95% CI (cluster-robust)" sheetId="4" r:id="rId4"/>
    <sheet name="CI_Calculation_Detai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H24" i="1"/>
  <c r="G24" i="1"/>
  <c r="F24" i="1"/>
  <c r="C24" i="1"/>
  <c r="B24" i="1"/>
</calcChain>
</file>

<file path=xl/sharedStrings.xml><?xml version="1.0" encoding="utf-8"?>
<sst xmlns="http://schemas.openxmlformats.org/spreadsheetml/2006/main" count="121" uniqueCount="88">
  <si>
    <t>Metric</t>
  </si>
  <si>
    <t>Mean</t>
  </si>
  <si>
    <t>Median</t>
  </si>
  <si>
    <t>Mode</t>
  </si>
  <si>
    <t>Std Dev</t>
  </si>
  <si>
    <t>Min</t>
  </si>
  <si>
    <t>Max</t>
  </si>
  <si>
    <t>Precision</t>
  </si>
  <si>
    <t>1.000</t>
  </si>
  <si>
    <t>Recall</t>
  </si>
  <si>
    <t>F1</t>
  </si>
  <si>
    <t>Participant</t>
  </si>
  <si>
    <t>Camera Puff Count</t>
  </si>
  <si>
    <t>FRIENDS Puff Count</t>
  </si>
  <si>
    <t>Camera Avg Puff Duration</t>
  </si>
  <si>
    <t>FRIENDS Avg Puff Duration</t>
  </si>
  <si>
    <t>Hits</t>
  </si>
  <si>
    <t>Misses</t>
  </si>
  <si>
    <t>False Alarms</t>
  </si>
  <si>
    <t>F1 Score</t>
  </si>
  <si>
    <t>Avg Hit Duration (Camera)</t>
  </si>
  <si>
    <t>Avg Hit Duration (FRIENDS)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</si>
  <si>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</si>
  <si>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</si>
  <si>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</si>
  <si>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</si>
  <si>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</si>
  <si>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</si>
  <si>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</si>
  <si>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</si>
  <si>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</si>
  <si>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</si>
  <si>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</si>
  <si>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</si>
  <si>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</si>
  <si>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</si>
  <si>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</si>
  <si>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</si>
  <si>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</si>
  <si>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</si>
  <si>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</si>
  <si>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</si>
  <si>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</si>
  <si>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</si>
  <si>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Total</t>
  </si>
  <si>
    <t>Std</t>
  </si>
  <si>
    <t>Total Camera Puff Count</t>
  </si>
  <si>
    <t>Total FRIENDS Puff Count</t>
  </si>
  <si>
    <t>Total Hits</t>
  </si>
  <si>
    <t>Total Misses</t>
  </si>
  <si>
    <t>Total False Alarms</t>
  </si>
  <si>
    <t>Hits + Misses</t>
  </si>
  <si>
    <t>Check (Hits+Misses == Camera Puff Count)</t>
  </si>
  <si>
    <t>Pooled Precision</t>
  </si>
  <si>
    <t>Pooled Recall</t>
  </si>
  <si>
    <t>Pooled F1</t>
  </si>
  <si>
    <t>OK</t>
  </si>
  <si>
    <t>R (pooled estimate)</t>
  </si>
  <si>
    <t>n (clusters = participants)</t>
  </si>
  <si>
    <t>Sum(u_j)</t>
  </si>
  <si>
    <t>Sum(x_j)</t>
  </si>
  <si>
    <t>Variance v(R)</t>
  </si>
  <si>
    <t>SE = sqrt(v(R))</t>
  </si>
  <si>
    <t>t(0.975, n-1)</t>
  </si>
  <si>
    <t>±95% CI</t>
  </si>
  <si>
    <t>95% CI lower</t>
  </si>
  <si>
    <t>95% CI upper</t>
  </si>
  <si>
    <t>95% CI upper (capped at 1.0)</t>
  </si>
  <si>
    <t>Report as (mean ± 95% CI)</t>
  </si>
  <si>
    <t>95% CI (formatted, [lower, upper])</t>
  </si>
  <si>
    <t>0.916 [0.845, 0.988]</t>
  </si>
  <si>
    <t>0.923 [0.844, 1.000]</t>
  </si>
  <si>
    <t>0.919 [0.861, 0.977]</t>
  </si>
  <si>
    <t>TP (Hits)</t>
  </si>
  <si>
    <t>FN (Misses)</t>
  </si>
  <si>
    <t>FP (False Alarms)</t>
  </si>
  <si>
    <t>u_j (Precision)</t>
  </si>
  <si>
    <t>x_j (Precision)</t>
  </si>
  <si>
    <t>u_j (Recall)</t>
  </si>
  <si>
    <t>x_j (Recall)</t>
  </si>
  <si>
    <t>u_j (F1)</t>
  </si>
  <si>
    <t>x_j (F1)</t>
  </si>
  <si>
    <t>Residual Precision (u_j - R*x_j)</t>
  </si>
  <si>
    <t>Residual Recall (u_j - R*x_j)</t>
  </si>
  <si>
    <t>Residual F1 (u_j - R*x_j)</t>
  </si>
  <si>
    <t>0.92 ± 0.07</t>
  </si>
  <si>
    <t>0.92 ± 0.08</t>
  </si>
  <si>
    <t>0.92 ± 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</si>
</sst>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J30" sqref="J30"/>
    </sheetView>
  </sheetViews>
  <sheetFormatPr defaultRowHeight="14.5" x14ac:dyDescent="0.35"/>
  <cols>
    <col min="1" max="1" width="12" bestFit="1" customWidth="1"/>
    <col min="2" max="2" width="17.1796875" bestFit="1" customWidth="1"/>
    <col min="3" max="3" width="17.90625" bestFit="1" customWidth="1"/>
    <col min="4" max="4" width="23.1796875" style="2" bestFit="1" customWidth="1"/>
    <col min="5" max="5" width="23.90625" style="2" bestFit="1" customWidth="1"/>
    <col min="6" max="6" width="4.08984375" bestFit="1" customWidth="1"/>
    <col min="7" max="7" width="6.54296875" bestFit="1" customWidth="1"/>
    <col min="8" max="8" width="11.36328125" bestFit="1" customWidth="1"/>
    <col min="9" max="9" width="8.54296875" style="2" bestFit="1" customWidth="1"/>
    <col min="10" max="10" width="7" style="2" bestFit="1" customWidth="1"/>
    <col min="11" max="11" width="8" style="2" bestFit="1" customWidth="1"/>
    <col min="12" max="12" width="23.36328125" style="2" bestFit="1" customWidth="1"/>
    <col min="13" max="13" width="24" style="2" bestFit="1" customWidth="1"/>
  </cols>
  <sheetData>
    <row r="1" spans="1:13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7</v>
      </c>
      <c r="J1" s="1" t="s">
        <v>9</v>
      </c>
      <c r="K1" s="1" t="s">
        <v>19</v>
      </c>
      <c r="L1" s="1" t="s">
        <v>20</v>
      </c>
      <c r="M1" s="1" t="s">
        <v>21</v>
      </c>
    </row>
    <row r="2" spans="1:13" x14ac:dyDescent="0.35">
      <c r="A2" s="3" t="s">
        <v>22</v>
      </c>
      <c r="B2" s="3">
        <v>22</v>
      </c>
      <c r="C2" s="3">
        <v>24</v>
      </c>
      <c r="D2" s="4">
        <v>2.7759999999999998</v>
      </c>
      <c r="E2" s="4">
        <v>1.893</v>
      </c>
      <c r="F2" s="3">
        <v>22</v>
      </c>
      <c r="G2" s="3">
        <v>0</v>
      </c>
      <c r="H2" s="3">
        <v>2</v>
      </c>
      <c r="I2" s="4">
        <v>0.91669999999999996</v>
      </c>
      <c r="J2" s="4">
        <v>1</v>
      </c>
      <c r="K2" s="4">
        <v>0.95650000000000002</v>
      </c>
      <c r="L2" s="4">
        <v>2.7759999999999998</v>
      </c>
      <c r="M2" s="4">
        <v>1.913</v>
      </c>
    </row>
    <row r="3" spans="1:13" x14ac:dyDescent="0.35">
      <c r="A3" s="3" t="s">
        <v>23</v>
      </c>
      <c r="B3" s="3">
        <v>68</v>
      </c>
      <c r="C3" s="3">
        <v>62</v>
      </c>
      <c r="D3" s="4">
        <v>1.1559999999999999</v>
      </c>
      <c r="E3" s="4">
        <v>1.2090000000000001</v>
      </c>
      <c r="F3" s="3">
        <v>62</v>
      </c>
      <c r="G3" s="3">
        <v>6</v>
      </c>
      <c r="H3" s="3">
        <v>0</v>
      </c>
      <c r="I3" s="4">
        <v>1</v>
      </c>
      <c r="J3" s="4">
        <v>0.91180000000000005</v>
      </c>
      <c r="K3" s="4">
        <v>0.95379999999999998</v>
      </c>
      <c r="L3" s="4">
        <v>1.161</v>
      </c>
      <c r="M3" s="4">
        <v>1.2090000000000001</v>
      </c>
    </row>
    <row r="4" spans="1:13" x14ac:dyDescent="0.35">
      <c r="A4" s="3" t="s">
        <v>24</v>
      </c>
      <c r="B4" s="3">
        <v>27</v>
      </c>
      <c r="C4" s="3">
        <v>27</v>
      </c>
      <c r="D4" s="4">
        <v>2.4470000000000001</v>
      </c>
      <c r="E4" s="4">
        <v>2.0699999999999998</v>
      </c>
      <c r="F4" s="3">
        <v>27</v>
      </c>
      <c r="G4" s="3">
        <v>0</v>
      </c>
      <c r="H4" s="3">
        <v>0</v>
      </c>
      <c r="I4" s="4">
        <v>1</v>
      </c>
      <c r="J4" s="4">
        <v>1</v>
      </c>
      <c r="K4" s="4">
        <v>1</v>
      </c>
      <c r="L4" s="4">
        <v>2.4470000000000001</v>
      </c>
      <c r="M4" s="4">
        <v>2.0699999999999998</v>
      </c>
    </row>
    <row r="5" spans="1:13" x14ac:dyDescent="0.35">
      <c r="A5" s="3" t="s">
        <v>25</v>
      </c>
      <c r="B5" s="3">
        <v>30</v>
      </c>
      <c r="C5" s="3">
        <v>31</v>
      </c>
      <c r="D5" s="4">
        <v>3.2109999999999999</v>
      </c>
      <c r="E5" s="4">
        <v>2.7250000000000001</v>
      </c>
      <c r="F5" s="3">
        <v>30</v>
      </c>
      <c r="G5" s="3">
        <v>0</v>
      </c>
      <c r="H5" s="3">
        <v>1</v>
      </c>
      <c r="I5" s="4">
        <v>0.9677</v>
      </c>
      <c r="J5" s="4">
        <v>1</v>
      </c>
      <c r="K5" s="4">
        <v>0.98360000000000003</v>
      </c>
      <c r="L5" s="4">
        <v>3.2109999999999999</v>
      </c>
      <c r="M5" s="4">
        <v>2.7440000000000002</v>
      </c>
    </row>
    <row r="6" spans="1:13" x14ac:dyDescent="0.35">
      <c r="A6" s="3" t="s">
        <v>26</v>
      </c>
      <c r="B6" s="3">
        <v>29</v>
      </c>
      <c r="C6" s="3">
        <v>48</v>
      </c>
      <c r="D6" s="4">
        <v>3.1709999999999998</v>
      </c>
      <c r="E6" s="4">
        <v>1.887</v>
      </c>
      <c r="F6" s="3">
        <v>18</v>
      </c>
      <c r="G6" s="3">
        <v>11</v>
      </c>
      <c r="H6" s="3">
        <v>29</v>
      </c>
      <c r="I6" s="4">
        <v>0.38300000000000001</v>
      </c>
      <c r="J6" s="4">
        <v>0.62070000000000003</v>
      </c>
      <c r="K6" s="4">
        <v>0.47370000000000001</v>
      </c>
      <c r="L6" s="4">
        <v>3.64</v>
      </c>
      <c r="M6" s="4">
        <v>2.6909999999999998</v>
      </c>
    </row>
    <row r="7" spans="1:13" x14ac:dyDescent="0.35">
      <c r="A7" s="3" t="s">
        <v>27</v>
      </c>
      <c r="B7" s="3">
        <v>20</v>
      </c>
      <c r="C7" s="3">
        <v>20</v>
      </c>
      <c r="D7" s="4">
        <v>2.9239999999999999</v>
      </c>
      <c r="E7" s="4">
        <v>2.4620000000000002</v>
      </c>
      <c r="F7" s="3">
        <v>20</v>
      </c>
      <c r="G7" s="3">
        <v>0</v>
      </c>
      <c r="H7" s="3">
        <v>0</v>
      </c>
      <c r="I7" s="4">
        <v>1</v>
      </c>
      <c r="J7" s="4">
        <v>1</v>
      </c>
      <c r="K7" s="4">
        <v>1</v>
      </c>
      <c r="L7" s="4">
        <v>2.9239999999999999</v>
      </c>
      <c r="M7" s="4">
        <v>2.4620000000000002</v>
      </c>
    </row>
    <row r="8" spans="1:13" x14ac:dyDescent="0.35">
      <c r="A8" s="3" t="s">
        <v>28</v>
      </c>
      <c r="B8" s="3">
        <v>32</v>
      </c>
      <c r="C8" s="3">
        <v>16</v>
      </c>
      <c r="D8" s="4">
        <v>2.0049999999999999</v>
      </c>
      <c r="E8" s="4">
        <v>1.8049999999999999</v>
      </c>
      <c r="F8" s="3">
        <v>16</v>
      </c>
      <c r="G8" s="3">
        <v>16</v>
      </c>
      <c r="H8" s="3">
        <v>0</v>
      </c>
      <c r="I8" s="4">
        <v>1</v>
      </c>
      <c r="J8" s="4">
        <v>0.5</v>
      </c>
      <c r="K8" s="4">
        <v>0.66669999999999996</v>
      </c>
      <c r="L8" s="4">
        <v>1.9950000000000001</v>
      </c>
      <c r="M8" s="4">
        <v>1.8049999999999999</v>
      </c>
    </row>
    <row r="9" spans="1:13" x14ac:dyDescent="0.35">
      <c r="A9" s="3" t="s">
        <v>29</v>
      </c>
      <c r="B9" s="3">
        <v>13</v>
      </c>
      <c r="C9" s="3">
        <v>11</v>
      </c>
      <c r="D9" s="4">
        <v>1.702</v>
      </c>
      <c r="E9" s="4">
        <v>2.16</v>
      </c>
      <c r="F9" s="3">
        <v>10</v>
      </c>
      <c r="G9" s="3">
        <v>3</v>
      </c>
      <c r="H9" s="3">
        <v>1</v>
      </c>
      <c r="I9" s="4">
        <v>0.90910000000000002</v>
      </c>
      <c r="J9" s="4">
        <v>0.76919999999999999</v>
      </c>
      <c r="K9" s="4">
        <v>0.83330000000000004</v>
      </c>
      <c r="L9" s="4">
        <v>1.6839999999999999</v>
      </c>
      <c r="M9" s="4">
        <v>1.66</v>
      </c>
    </row>
    <row r="10" spans="1:13" x14ac:dyDescent="0.35">
      <c r="A10" s="3" t="s">
        <v>30</v>
      </c>
      <c r="B10" s="3">
        <v>48</v>
      </c>
      <c r="C10" s="3">
        <v>48</v>
      </c>
      <c r="D10" s="4">
        <v>2.262</v>
      </c>
      <c r="E10" s="4">
        <v>1.792</v>
      </c>
      <c r="F10" s="3">
        <v>48</v>
      </c>
      <c r="G10" s="3">
        <v>0</v>
      </c>
      <c r="H10" s="3">
        <v>0</v>
      </c>
      <c r="I10" s="4">
        <v>1</v>
      </c>
      <c r="J10" s="4">
        <v>1</v>
      </c>
      <c r="K10" s="4">
        <v>1</v>
      </c>
      <c r="L10" s="4">
        <v>2.262</v>
      </c>
      <c r="M10" s="4">
        <v>1.792</v>
      </c>
    </row>
    <row r="11" spans="1:13" x14ac:dyDescent="0.35">
      <c r="A11" s="3" t="s">
        <v>31</v>
      </c>
      <c r="B11" s="3">
        <v>17</v>
      </c>
      <c r="C11" s="3">
        <v>17</v>
      </c>
      <c r="D11" s="4">
        <v>3.024</v>
      </c>
      <c r="E11" s="4">
        <v>2.7530000000000001</v>
      </c>
      <c r="F11" s="3">
        <v>17</v>
      </c>
      <c r="G11" s="3">
        <v>0</v>
      </c>
      <c r="H11" s="3">
        <v>0</v>
      </c>
      <c r="I11" s="4">
        <v>1</v>
      </c>
      <c r="J11" s="4">
        <v>1</v>
      </c>
      <c r="K11" s="4">
        <v>1</v>
      </c>
      <c r="L11" s="4">
        <v>3.024</v>
      </c>
      <c r="M11" s="4">
        <v>2.7530000000000001</v>
      </c>
    </row>
    <row r="12" spans="1:13" x14ac:dyDescent="0.35">
      <c r="A12" s="3" t="s">
        <v>32</v>
      </c>
      <c r="B12" s="3">
        <v>70</v>
      </c>
      <c r="C12" s="3">
        <v>43</v>
      </c>
      <c r="D12" s="4">
        <v>2.3210000000000002</v>
      </c>
      <c r="E12" s="4">
        <v>1.621</v>
      </c>
      <c r="F12" s="3">
        <v>41</v>
      </c>
      <c r="G12" s="3">
        <v>29</v>
      </c>
      <c r="H12" s="3">
        <v>2</v>
      </c>
      <c r="I12" s="4">
        <v>0.95350000000000001</v>
      </c>
      <c r="J12" s="4">
        <v>0.5857</v>
      </c>
      <c r="K12" s="4">
        <v>0.72570000000000001</v>
      </c>
      <c r="L12" s="4">
        <v>2.3199999999999998</v>
      </c>
      <c r="M12" s="4">
        <v>1.4830000000000001</v>
      </c>
    </row>
    <row r="13" spans="1:13" x14ac:dyDescent="0.35">
      <c r="A13" s="3" t="s">
        <v>33</v>
      </c>
      <c r="B13" s="3">
        <v>11</v>
      </c>
      <c r="C13" s="3">
        <v>11</v>
      </c>
      <c r="D13" s="4">
        <v>3.3090000000000002</v>
      </c>
      <c r="E13" s="4">
        <v>2.927</v>
      </c>
      <c r="F13" s="3">
        <v>11</v>
      </c>
      <c r="G13" s="3">
        <v>0</v>
      </c>
      <c r="H13" s="3">
        <v>0</v>
      </c>
      <c r="I13" s="4">
        <v>1</v>
      </c>
      <c r="J13" s="4">
        <v>1</v>
      </c>
      <c r="K13" s="4">
        <v>1</v>
      </c>
      <c r="L13" s="4">
        <v>3.3090000000000002</v>
      </c>
      <c r="M13" s="4">
        <v>2.927</v>
      </c>
    </row>
    <row r="14" spans="1:13" x14ac:dyDescent="0.35">
      <c r="A14" s="3" t="s">
        <v>34</v>
      </c>
      <c r="B14" s="3">
        <v>21</v>
      </c>
      <c r="C14" s="3">
        <v>22</v>
      </c>
      <c r="D14" s="4">
        <v>2.282</v>
      </c>
      <c r="E14" s="4">
        <v>1.524</v>
      </c>
      <c r="F14" s="3">
        <v>21</v>
      </c>
      <c r="G14" s="3">
        <v>0</v>
      </c>
      <c r="H14" s="3">
        <v>1</v>
      </c>
      <c r="I14" s="4">
        <v>0.95450000000000002</v>
      </c>
      <c r="J14" s="4">
        <v>1</v>
      </c>
      <c r="K14" s="4">
        <v>0.97670000000000001</v>
      </c>
      <c r="L14" s="4">
        <v>2.282</v>
      </c>
      <c r="M14" s="4">
        <v>1.4359999999999999</v>
      </c>
    </row>
    <row r="15" spans="1:13" x14ac:dyDescent="0.35">
      <c r="A15" s="3" t="s">
        <v>35</v>
      </c>
      <c r="B15" s="3">
        <v>54</v>
      </c>
      <c r="C15" s="3">
        <v>56</v>
      </c>
      <c r="D15" s="4">
        <v>1.6359999999999999</v>
      </c>
      <c r="E15" s="4">
        <v>1.286</v>
      </c>
      <c r="F15" s="3">
        <v>54</v>
      </c>
      <c r="G15" s="3">
        <v>0</v>
      </c>
      <c r="H15" s="3">
        <v>1</v>
      </c>
      <c r="I15" s="4">
        <v>0.98180000000000001</v>
      </c>
      <c r="J15" s="4">
        <v>1</v>
      </c>
      <c r="K15" s="4">
        <v>0.99080000000000001</v>
      </c>
      <c r="L15" s="4">
        <v>1.6359999999999999</v>
      </c>
      <c r="M15" s="4">
        <v>1.2989999999999999</v>
      </c>
    </row>
    <row r="16" spans="1:13" x14ac:dyDescent="0.35">
      <c r="A16" s="3" t="s">
        <v>36</v>
      </c>
      <c r="B16" s="3">
        <v>28</v>
      </c>
      <c r="C16" s="3">
        <v>34</v>
      </c>
      <c r="D16" s="4">
        <v>1.77</v>
      </c>
      <c r="E16" s="4">
        <v>1.819</v>
      </c>
      <c r="F16" s="3">
        <v>28</v>
      </c>
      <c r="G16" s="3">
        <v>0</v>
      </c>
      <c r="H16" s="3">
        <v>6</v>
      </c>
      <c r="I16" s="4">
        <v>0.82350000000000001</v>
      </c>
      <c r="J16" s="4">
        <v>1</v>
      </c>
      <c r="K16" s="4">
        <v>0.9032</v>
      </c>
      <c r="L16" s="4">
        <v>1.77</v>
      </c>
      <c r="M16" s="4">
        <v>1.6659999999999999</v>
      </c>
    </row>
    <row r="17" spans="1:13" x14ac:dyDescent="0.35">
      <c r="A17" s="3" t="s">
        <v>37</v>
      </c>
      <c r="B17" s="3">
        <v>25</v>
      </c>
      <c r="C17" s="3">
        <v>25</v>
      </c>
      <c r="D17" s="4">
        <v>3.653</v>
      </c>
      <c r="E17" s="4">
        <v>2.944</v>
      </c>
      <c r="F17" s="3">
        <v>25</v>
      </c>
      <c r="G17" s="3">
        <v>0</v>
      </c>
      <c r="H17" s="3">
        <v>0</v>
      </c>
      <c r="I17" s="4">
        <v>1</v>
      </c>
      <c r="J17" s="4">
        <v>1</v>
      </c>
      <c r="K17" s="4">
        <v>1</v>
      </c>
      <c r="L17" s="4">
        <v>3.653</v>
      </c>
      <c r="M17" s="4">
        <v>2.944</v>
      </c>
    </row>
    <row r="18" spans="1:13" x14ac:dyDescent="0.35">
      <c r="A18" s="3" t="s">
        <v>38</v>
      </c>
      <c r="B18" s="3">
        <v>70</v>
      </c>
      <c r="C18" s="3">
        <v>70</v>
      </c>
      <c r="D18" s="4">
        <v>2.4900000000000002</v>
      </c>
      <c r="E18" s="4">
        <v>1.7909999999999999</v>
      </c>
      <c r="F18" s="3">
        <v>70</v>
      </c>
      <c r="G18" s="3">
        <v>0</v>
      </c>
      <c r="H18" s="3">
        <v>0</v>
      </c>
      <c r="I18" s="4">
        <v>1</v>
      </c>
      <c r="J18" s="4">
        <v>1</v>
      </c>
      <c r="K18" s="4">
        <v>1</v>
      </c>
      <c r="L18" s="4">
        <v>2.4900000000000002</v>
      </c>
      <c r="M18" s="4">
        <v>1.7909999999999999</v>
      </c>
    </row>
    <row r="19" spans="1:13" x14ac:dyDescent="0.35">
      <c r="A19" s="3" t="s">
        <v>39</v>
      </c>
      <c r="B19" s="3">
        <v>87</v>
      </c>
      <c r="C19" s="3">
        <v>95</v>
      </c>
      <c r="D19" s="4">
        <v>1.589</v>
      </c>
      <c r="E19" s="4">
        <v>1.0880000000000001</v>
      </c>
      <c r="F19" s="3">
        <v>87</v>
      </c>
      <c r="G19" s="3">
        <v>0</v>
      </c>
      <c r="H19" s="3">
        <v>8</v>
      </c>
      <c r="I19" s="4">
        <v>0.91579999999999995</v>
      </c>
      <c r="J19" s="4">
        <v>1</v>
      </c>
      <c r="K19" s="4">
        <v>0.95599999999999996</v>
      </c>
      <c r="L19" s="4">
        <v>1.589</v>
      </c>
      <c r="M19" s="4">
        <v>1.111</v>
      </c>
    </row>
    <row r="20" spans="1:13" x14ac:dyDescent="0.35">
      <c r="A20" s="3" t="s">
        <v>40</v>
      </c>
      <c r="B20" s="3">
        <v>32</v>
      </c>
      <c r="C20" s="3">
        <v>31</v>
      </c>
      <c r="D20" s="4">
        <v>2.4780000000000002</v>
      </c>
      <c r="E20" s="4">
        <v>1.9379999999999999</v>
      </c>
      <c r="F20" s="3">
        <v>31</v>
      </c>
      <c r="G20" s="3">
        <v>1</v>
      </c>
      <c r="H20" s="3">
        <v>0</v>
      </c>
      <c r="I20" s="4">
        <v>1</v>
      </c>
      <c r="J20" s="4">
        <v>0.96879999999999999</v>
      </c>
      <c r="K20" s="4">
        <v>0.98409999999999997</v>
      </c>
      <c r="L20" s="4">
        <v>2.516</v>
      </c>
      <c r="M20" s="4">
        <v>1.9379999999999999</v>
      </c>
    </row>
    <row r="21" spans="1:13" x14ac:dyDescent="0.35">
      <c r="A21" s="3" t="s">
        <v>41</v>
      </c>
      <c r="B21" s="3">
        <v>82</v>
      </c>
      <c r="C21" s="3">
        <v>100</v>
      </c>
      <c r="D21" s="4">
        <v>2.444</v>
      </c>
      <c r="E21" s="4">
        <v>1.925</v>
      </c>
      <c r="F21" s="3">
        <v>82</v>
      </c>
      <c r="G21" s="3">
        <v>0</v>
      </c>
      <c r="H21" s="3">
        <v>18</v>
      </c>
      <c r="I21" s="4">
        <v>0.82</v>
      </c>
      <c r="J21" s="4">
        <v>1</v>
      </c>
      <c r="K21" s="4">
        <v>0.90110000000000001</v>
      </c>
      <c r="L21" s="4">
        <v>2.444</v>
      </c>
      <c r="M21" s="4">
        <v>2.1059999999999999</v>
      </c>
    </row>
    <row r="22" spans="1:13" x14ac:dyDescent="0.35">
      <c r="A22" s="3" t="s">
        <v>42</v>
      </c>
      <c r="B22" s="3">
        <v>44</v>
      </c>
      <c r="C22" s="3">
        <v>48</v>
      </c>
      <c r="D22" s="4">
        <v>2.6549999999999998</v>
      </c>
      <c r="E22" s="4">
        <v>2.298</v>
      </c>
      <c r="F22" s="3">
        <v>43</v>
      </c>
      <c r="G22" s="3">
        <v>1</v>
      </c>
      <c r="H22" s="3">
        <v>4</v>
      </c>
      <c r="I22" s="4">
        <v>0.91490000000000005</v>
      </c>
      <c r="J22" s="4">
        <v>0.97729999999999995</v>
      </c>
      <c r="K22" s="4">
        <v>0.94510000000000005</v>
      </c>
      <c r="L22" s="4">
        <v>2.66</v>
      </c>
      <c r="M22" s="4">
        <v>2.419</v>
      </c>
    </row>
    <row r="23" spans="1:13" x14ac:dyDescent="0.35">
      <c r="A23" s="3" t="s">
        <v>43</v>
      </c>
      <c r="B23" s="3">
        <v>36</v>
      </c>
      <c r="C23" s="3">
        <v>49</v>
      </c>
      <c r="D23" s="4">
        <v>4.8330000000000002</v>
      </c>
      <c r="E23" s="4">
        <v>2.7930000000000001</v>
      </c>
      <c r="F23" s="3">
        <v>36</v>
      </c>
      <c r="G23" s="3">
        <v>0</v>
      </c>
      <c r="H23" s="3">
        <v>0</v>
      </c>
      <c r="I23" s="4">
        <v>1</v>
      </c>
      <c r="J23" s="4">
        <v>1</v>
      </c>
      <c r="K23" s="4">
        <v>1</v>
      </c>
      <c r="L23" s="4">
        <v>4.8330000000000002</v>
      </c>
      <c r="M23" s="4">
        <v>2.7930000000000001</v>
      </c>
    </row>
    <row r="24" spans="1:13" s="7" customFormat="1" x14ac:dyDescent="0.35">
      <c r="A24" s="5" t="s">
        <v>44</v>
      </c>
      <c r="B24" s="5">
        <f>SUM(B2:B23)</f>
        <v>866</v>
      </c>
      <c r="C24" s="5">
        <f>SUM(C2:C23)</f>
        <v>888</v>
      </c>
      <c r="D24" s="6"/>
      <c r="E24" s="6"/>
      <c r="F24" s="5">
        <f>SUM(F2:F23)</f>
        <v>799</v>
      </c>
      <c r="G24" s="5">
        <f>SUM(G2:G23)</f>
        <v>67</v>
      </c>
      <c r="H24" s="5">
        <f>SUM(H2:H23)</f>
        <v>73</v>
      </c>
      <c r="I24" s="6"/>
      <c r="J24" s="6"/>
      <c r="K24" s="6"/>
      <c r="L24" s="6"/>
      <c r="M24" s="6"/>
    </row>
    <row r="25" spans="1:13" s="7" customFormat="1" x14ac:dyDescent="0.35">
      <c r="A25" s="5" t="s">
        <v>1</v>
      </c>
      <c r="B25" s="6">
        <f t="shared" ref="B25:M25" si="0">AVERAGE(B2:B23)</f>
        <v>39.363636363636367</v>
      </c>
      <c r="C25" s="6">
        <f t="shared" si="0"/>
        <v>40.363636363636367</v>
      </c>
      <c r="D25" s="6">
        <f t="shared" si="0"/>
        <v>2.5517272727272733</v>
      </c>
      <c r="E25" s="6">
        <f t="shared" si="0"/>
        <v>2.0322727272727272</v>
      </c>
      <c r="F25" s="5">
        <f t="shared" si="0"/>
        <v>36.31818181818182</v>
      </c>
      <c r="G25" s="6">
        <f t="shared" si="0"/>
        <v>3.0454545454545454</v>
      </c>
      <c r="H25" s="6">
        <f t="shared" si="0"/>
        <v>3.3181818181818183</v>
      </c>
      <c r="I25" s="6">
        <f t="shared" si="0"/>
        <v>0.93365909090909083</v>
      </c>
      <c r="J25" s="6">
        <f t="shared" si="0"/>
        <v>0.92425000000000002</v>
      </c>
      <c r="K25" s="6">
        <f t="shared" si="0"/>
        <v>0.9204681818181818</v>
      </c>
      <c r="L25" s="6">
        <f t="shared" si="0"/>
        <v>2.5739090909090918</v>
      </c>
      <c r="M25" s="6">
        <f t="shared" si="0"/>
        <v>2.0459999999999998</v>
      </c>
    </row>
    <row r="26" spans="1:13" s="7" customFormat="1" x14ac:dyDescent="0.35">
      <c r="A26" s="5" t="s">
        <v>2</v>
      </c>
      <c r="B26" s="6">
        <f t="shared" ref="B26:M26" si="1">MEDIAN(B2:B23)</f>
        <v>31</v>
      </c>
      <c r="C26" s="6">
        <f t="shared" si="1"/>
        <v>32.5</v>
      </c>
      <c r="D26" s="6">
        <f t="shared" si="1"/>
        <v>2.4625000000000004</v>
      </c>
      <c r="E26" s="6">
        <f t="shared" si="1"/>
        <v>1.909</v>
      </c>
      <c r="F26" s="5">
        <f t="shared" si="1"/>
        <v>29</v>
      </c>
      <c r="G26" s="6">
        <f t="shared" si="1"/>
        <v>0</v>
      </c>
      <c r="H26" s="6">
        <f t="shared" si="1"/>
        <v>0.5</v>
      </c>
      <c r="I26" s="6">
        <f t="shared" si="1"/>
        <v>0.9909</v>
      </c>
      <c r="J26" s="6">
        <f t="shared" si="1"/>
        <v>1</v>
      </c>
      <c r="K26" s="6">
        <f t="shared" si="1"/>
        <v>0.98015000000000008</v>
      </c>
      <c r="L26" s="6">
        <f t="shared" si="1"/>
        <v>2.4685000000000001</v>
      </c>
      <c r="M26" s="6">
        <f t="shared" si="1"/>
        <v>1.9255</v>
      </c>
    </row>
    <row r="27" spans="1:13" s="7" customFormat="1" x14ac:dyDescent="0.35">
      <c r="A27" s="5" t="s">
        <v>45</v>
      </c>
      <c r="B27" s="6">
        <f t="shared" ref="B27:M27" si="2">_xlfn.STDEV.S(B2:B23)</f>
        <v>22.794204473412922</v>
      </c>
      <c r="C27" s="6">
        <f t="shared" si="2"/>
        <v>24.787757067409316</v>
      </c>
      <c r="D27" s="6">
        <f t="shared" si="2"/>
        <v>0.81118515189156948</v>
      </c>
      <c r="E27" s="6">
        <f t="shared" si="2"/>
        <v>0.54818481258111096</v>
      </c>
      <c r="F27" s="5">
        <f t="shared" si="2"/>
        <v>22.33806566131404</v>
      </c>
      <c r="G27" s="6">
        <f t="shared" si="2"/>
        <v>7.1078579770311263</v>
      </c>
      <c r="H27" s="6">
        <f t="shared" si="2"/>
        <v>7.0736692414048123</v>
      </c>
      <c r="I27" s="6">
        <f t="shared" si="2"/>
        <v>0.13497038002779901</v>
      </c>
      <c r="J27" s="6">
        <f t="shared" si="2"/>
        <v>0.15458272788996991</v>
      </c>
      <c r="K27" s="6">
        <f t="shared" si="2"/>
        <v>0.13473617743880956</v>
      </c>
      <c r="L27" s="6">
        <f t="shared" si="2"/>
        <v>0.83477512849360469</v>
      </c>
      <c r="M27" s="6">
        <f t="shared" si="2"/>
        <v>0.58522506862948231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H2" sqref="H2:J2"/>
    </sheetView>
  </sheetViews>
  <sheetFormatPr defaultRowHeight="14.5" x14ac:dyDescent="0.35"/>
  <cols>
    <col min="1" max="1" width="17.36328125" customWidth="1"/>
    <col min="2" max="2" width="30.08984375" customWidth="1"/>
    <col min="7" max="7" width="31" customWidth="1"/>
  </cols>
  <sheetData>
    <row r="1" spans="1:13" x14ac:dyDescent="0.3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/>
      <c r="L1" s="1"/>
      <c r="M1" s="1"/>
    </row>
    <row r="2" spans="1:13" x14ac:dyDescent="0.35">
      <c r="A2">
        <v>866</v>
      </c>
      <c r="B2">
        <v>888</v>
      </c>
      <c r="C2">
        <v>799</v>
      </c>
      <c r="D2">
        <v>67</v>
      </c>
      <c r="E2">
        <v>73</v>
      </c>
      <c r="F2">
        <v>866</v>
      </c>
      <c r="G2" t="s">
        <v>56</v>
      </c>
      <c r="H2" s="2">
        <v>0.9163</v>
      </c>
      <c r="I2" s="2">
        <v>0.92259999999999998</v>
      </c>
      <c r="J2" s="2">
        <v>0.9194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H24" sqref="H2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0.93369999999999997</v>
      </c>
      <c r="C2">
        <v>0.9909</v>
      </c>
      <c r="D2" t="s">
        <v>8</v>
      </c>
      <c r="E2">
        <v>0.13500000000000001</v>
      </c>
      <c r="F2">
        <v>0.38300000000000001</v>
      </c>
      <c r="G2">
        <v>1</v>
      </c>
    </row>
    <row r="3" spans="1:7" x14ac:dyDescent="0.35">
      <c r="A3" t="s">
        <v>9</v>
      </c>
      <c r="B3">
        <v>0.92420000000000002</v>
      </c>
      <c r="C3">
        <v>1</v>
      </c>
      <c r="D3" t="s">
        <v>8</v>
      </c>
      <c r="E3">
        <v>0.15459999999999999</v>
      </c>
      <c r="F3">
        <v>0.5</v>
      </c>
      <c r="G3">
        <v>1</v>
      </c>
    </row>
    <row r="4" spans="1:7" x14ac:dyDescent="0.35">
      <c r="A4" t="s">
        <v>10</v>
      </c>
      <c r="B4">
        <v>0.92049999999999998</v>
      </c>
      <c r="C4">
        <v>0.98019999999999996</v>
      </c>
      <c r="D4" t="s">
        <v>8</v>
      </c>
      <c r="E4">
        <v>0.13469999999999999</v>
      </c>
      <c r="F4">
        <v>0.47370000000000001</v>
      </c>
      <c r="G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tabSelected="1" workbookViewId="0">
      <selection activeCell="M1" sqref="M1"/>
    </sheetView>
  </sheetViews>
  <sheetFormatPr defaultRowHeight="14.5" x14ac:dyDescent="0.35"/>
  <cols>
    <col min="13" max="13" width="29.54296875" customWidth="1"/>
    <col min="14" max="14" width="40" customWidth="1"/>
  </cols>
  <sheetData>
    <row r="1" spans="1:14" x14ac:dyDescent="0.35">
      <c r="A1" s="8" t="s">
        <v>0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10" t="s">
        <v>68</v>
      </c>
      <c r="N1" s="8" t="s">
        <v>69</v>
      </c>
    </row>
    <row r="2" spans="1:14" x14ac:dyDescent="0.35">
      <c r="A2" t="s">
        <v>7</v>
      </c>
      <c r="B2">
        <v>0.9163</v>
      </c>
      <c r="C2">
        <v>22</v>
      </c>
      <c r="D2">
        <v>799</v>
      </c>
      <c r="E2">
        <v>872</v>
      </c>
      <c r="F2">
        <v>1.1847923617827609E-3</v>
      </c>
      <c r="G2">
        <v>3.4419999999999999E-2</v>
      </c>
      <c r="H2">
        <v>2.0796000000000001</v>
      </c>
      <c r="I2">
        <v>7.1599999999999997E-2</v>
      </c>
      <c r="J2">
        <v>0.84470000000000001</v>
      </c>
      <c r="K2">
        <v>0.9879</v>
      </c>
      <c r="L2">
        <v>0.9879</v>
      </c>
      <c r="M2" s="9" t="s">
        <v>85</v>
      </c>
      <c r="N2" t="s">
        <v>70</v>
      </c>
    </row>
    <row r="3" spans="1:14" x14ac:dyDescent="0.35">
      <c r="A3" t="s">
        <v>9</v>
      </c>
      <c r="B3">
        <v>0.92259999999999998</v>
      </c>
      <c r="C3">
        <v>22</v>
      </c>
      <c r="D3">
        <v>799</v>
      </c>
      <c r="E3">
        <v>866</v>
      </c>
      <c r="F3">
        <v>1.4119025276191301E-3</v>
      </c>
      <c r="G3">
        <v>3.7580000000000002E-2</v>
      </c>
      <c r="H3">
        <v>2.0796000000000001</v>
      </c>
      <c r="I3">
        <v>7.8100000000000003E-2</v>
      </c>
      <c r="J3">
        <v>0.84450000000000003</v>
      </c>
      <c r="K3">
        <v>1.0007999999999999</v>
      </c>
      <c r="L3">
        <v>1</v>
      </c>
      <c r="M3" s="9" t="s">
        <v>86</v>
      </c>
      <c r="N3" t="s">
        <v>71</v>
      </c>
    </row>
    <row r="4" spans="1:14" x14ac:dyDescent="0.35">
      <c r="A4" t="s">
        <v>10</v>
      </c>
      <c r="B4">
        <v>0.9194</v>
      </c>
      <c r="C4">
        <v>22</v>
      </c>
      <c r="D4">
        <v>1598</v>
      </c>
      <c r="E4">
        <v>1738</v>
      </c>
      <c r="F4">
        <v>7.7648893541414229E-4</v>
      </c>
      <c r="G4">
        <v>2.7869999999999999E-2</v>
      </c>
      <c r="H4">
        <v>2.0796000000000001</v>
      </c>
      <c r="I4">
        <v>5.79E-2</v>
      </c>
      <c r="J4">
        <v>0.86150000000000004</v>
      </c>
      <c r="K4">
        <v>0.97740000000000005</v>
      </c>
      <c r="L4">
        <v>0.9</v>
      </c>
      <c r="M4" s="9" t="s">
        <v>87</v>
      </c>
      <c r="N4" t="s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workbookViewId="0"/>
  </sheetViews>
  <sheetFormatPr defaultRowHeight="14.5" x14ac:dyDescent="0.35"/>
  <sheetData>
    <row r="1" spans="1:13" x14ac:dyDescent="0.35">
      <c r="A1" s="8" t="s">
        <v>11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</row>
    <row r="2" spans="1:13" x14ac:dyDescent="0.35">
      <c r="A2" t="s">
        <v>22</v>
      </c>
      <c r="B2">
        <v>22</v>
      </c>
      <c r="C2">
        <v>0</v>
      </c>
      <c r="D2">
        <v>2</v>
      </c>
      <c r="E2">
        <v>22</v>
      </c>
      <c r="F2">
        <v>24</v>
      </c>
      <c r="G2">
        <v>22</v>
      </c>
      <c r="H2">
        <v>22</v>
      </c>
      <c r="I2">
        <v>44</v>
      </c>
      <c r="J2">
        <v>46</v>
      </c>
      <c r="K2">
        <v>9.1743119266070039E-3</v>
      </c>
      <c r="L2">
        <v>1.702078521939953</v>
      </c>
      <c r="M2">
        <v>1.705408515535098</v>
      </c>
    </row>
    <row r="3" spans="1:13" x14ac:dyDescent="0.35">
      <c r="A3" t="s">
        <v>23</v>
      </c>
      <c r="B3">
        <v>62</v>
      </c>
      <c r="C3">
        <v>6</v>
      </c>
      <c r="D3">
        <v>0</v>
      </c>
      <c r="E3">
        <v>62</v>
      </c>
      <c r="F3">
        <v>62</v>
      </c>
      <c r="G3">
        <v>62</v>
      </c>
      <c r="H3">
        <v>68</v>
      </c>
      <c r="I3">
        <v>124</v>
      </c>
      <c r="J3">
        <v>130</v>
      </c>
      <c r="K3">
        <v>5.1903669724770651</v>
      </c>
      <c r="L3">
        <v>-0.73903002309469201</v>
      </c>
      <c r="M3">
        <v>4.4718066743383096</v>
      </c>
    </row>
    <row r="4" spans="1:13" x14ac:dyDescent="0.35">
      <c r="A4" t="s">
        <v>24</v>
      </c>
      <c r="B4">
        <v>27</v>
      </c>
      <c r="C4">
        <v>0</v>
      </c>
      <c r="D4">
        <v>0</v>
      </c>
      <c r="E4">
        <v>27</v>
      </c>
      <c r="F4">
        <v>27</v>
      </c>
      <c r="G4">
        <v>27</v>
      </c>
      <c r="H4">
        <v>27</v>
      </c>
      <c r="I4">
        <v>54</v>
      </c>
      <c r="J4">
        <v>54</v>
      </c>
      <c r="K4">
        <v>2.2603211009174302</v>
      </c>
      <c r="L4">
        <v>2.0889145496535799</v>
      </c>
      <c r="M4">
        <v>4.3498273878020726</v>
      </c>
    </row>
    <row r="5" spans="1:13" x14ac:dyDescent="0.35">
      <c r="A5" t="s">
        <v>25</v>
      </c>
      <c r="B5">
        <v>30</v>
      </c>
      <c r="C5">
        <v>0</v>
      </c>
      <c r="D5">
        <v>1</v>
      </c>
      <c r="E5">
        <v>30</v>
      </c>
      <c r="F5">
        <v>31</v>
      </c>
      <c r="G5">
        <v>30</v>
      </c>
      <c r="H5">
        <v>30</v>
      </c>
      <c r="I5">
        <v>60</v>
      </c>
      <c r="J5">
        <v>61</v>
      </c>
      <c r="K5">
        <v>1.595183486238533</v>
      </c>
      <c r="L5">
        <v>2.3210161662817552</v>
      </c>
      <c r="M5">
        <v>3.9136939010356708</v>
      </c>
    </row>
    <row r="6" spans="1:13" x14ac:dyDescent="0.35">
      <c r="A6" t="s">
        <v>26</v>
      </c>
      <c r="B6">
        <v>18</v>
      </c>
      <c r="C6">
        <v>11</v>
      </c>
      <c r="D6">
        <v>29</v>
      </c>
      <c r="E6">
        <v>18</v>
      </c>
      <c r="F6">
        <v>47</v>
      </c>
      <c r="G6">
        <v>18</v>
      </c>
      <c r="H6">
        <v>29</v>
      </c>
      <c r="I6">
        <v>36</v>
      </c>
      <c r="J6">
        <v>76</v>
      </c>
      <c r="K6">
        <v>-25.065366972477069</v>
      </c>
      <c r="L6">
        <v>-8.75635103926097</v>
      </c>
      <c r="M6">
        <v>-33.878020713463748</v>
      </c>
    </row>
    <row r="7" spans="1:13" x14ac:dyDescent="0.35">
      <c r="A7" t="s">
        <v>27</v>
      </c>
      <c r="B7">
        <v>20</v>
      </c>
      <c r="C7">
        <v>0</v>
      </c>
      <c r="D7">
        <v>0</v>
      </c>
      <c r="E7">
        <v>20</v>
      </c>
      <c r="F7">
        <v>20</v>
      </c>
      <c r="G7">
        <v>20</v>
      </c>
      <c r="H7">
        <v>20</v>
      </c>
      <c r="I7">
        <v>40</v>
      </c>
      <c r="J7">
        <v>40</v>
      </c>
      <c r="K7">
        <v>1.6743119266055051</v>
      </c>
      <c r="L7">
        <v>1.547344110854503</v>
      </c>
      <c r="M7">
        <v>3.222094361334868</v>
      </c>
    </row>
    <row r="8" spans="1:13" x14ac:dyDescent="0.35">
      <c r="A8" t="s">
        <v>28</v>
      </c>
      <c r="B8">
        <v>16</v>
      </c>
      <c r="C8">
        <v>16</v>
      </c>
      <c r="D8">
        <v>0</v>
      </c>
      <c r="E8">
        <v>16</v>
      </c>
      <c r="F8">
        <v>16</v>
      </c>
      <c r="G8">
        <v>16</v>
      </c>
      <c r="H8">
        <v>32</v>
      </c>
      <c r="I8">
        <v>32</v>
      </c>
      <c r="J8">
        <v>48</v>
      </c>
      <c r="K8">
        <v>1.3394495412844041</v>
      </c>
      <c r="L8">
        <v>-13.524249422632799</v>
      </c>
      <c r="M8">
        <v>-12.13348676639816</v>
      </c>
    </row>
    <row r="9" spans="1:13" x14ac:dyDescent="0.35">
      <c r="A9" t="s">
        <v>29</v>
      </c>
      <c r="B9">
        <v>10</v>
      </c>
      <c r="C9">
        <v>3</v>
      </c>
      <c r="D9">
        <v>1</v>
      </c>
      <c r="E9">
        <v>10</v>
      </c>
      <c r="F9">
        <v>11</v>
      </c>
      <c r="G9">
        <v>10</v>
      </c>
      <c r="H9">
        <v>13</v>
      </c>
      <c r="I9">
        <v>20</v>
      </c>
      <c r="J9">
        <v>24</v>
      </c>
      <c r="K9">
        <v>-7.9128440366972086E-2</v>
      </c>
      <c r="L9">
        <v>-1.994226327944574</v>
      </c>
      <c r="M9">
        <v>-2.066743383199082</v>
      </c>
    </row>
    <row r="10" spans="1:13" x14ac:dyDescent="0.35">
      <c r="A10" t="s">
        <v>30</v>
      </c>
      <c r="B10">
        <v>48</v>
      </c>
      <c r="C10">
        <v>0</v>
      </c>
      <c r="D10">
        <v>0</v>
      </c>
      <c r="E10">
        <v>48</v>
      </c>
      <c r="F10">
        <v>48</v>
      </c>
      <c r="G10">
        <v>48</v>
      </c>
      <c r="H10">
        <v>48</v>
      </c>
      <c r="I10">
        <v>96</v>
      </c>
      <c r="J10">
        <v>96</v>
      </c>
      <c r="K10">
        <v>4.018348623853214</v>
      </c>
      <c r="L10">
        <v>3.7136258660508048</v>
      </c>
      <c r="M10">
        <v>7.7330264672036719</v>
      </c>
    </row>
    <row r="11" spans="1:13" x14ac:dyDescent="0.35">
      <c r="A11" t="s">
        <v>31</v>
      </c>
      <c r="B11">
        <v>17</v>
      </c>
      <c r="C11">
        <v>0</v>
      </c>
      <c r="D11">
        <v>0</v>
      </c>
      <c r="E11">
        <v>17</v>
      </c>
      <c r="F11">
        <v>17</v>
      </c>
      <c r="G11">
        <v>17</v>
      </c>
      <c r="H11">
        <v>17</v>
      </c>
      <c r="I11">
        <v>34</v>
      </c>
      <c r="J11">
        <v>34</v>
      </c>
      <c r="K11">
        <v>1.4231651376146801</v>
      </c>
      <c r="L11">
        <v>1.315242494226327</v>
      </c>
      <c r="M11">
        <v>2.738780207134635</v>
      </c>
    </row>
    <row r="12" spans="1:13" x14ac:dyDescent="0.35">
      <c r="A12" t="s">
        <v>32</v>
      </c>
      <c r="B12">
        <v>41</v>
      </c>
      <c r="C12">
        <v>29</v>
      </c>
      <c r="D12">
        <v>2</v>
      </c>
      <c r="E12">
        <v>41</v>
      </c>
      <c r="F12">
        <v>43</v>
      </c>
      <c r="G12">
        <v>41</v>
      </c>
      <c r="H12">
        <v>70</v>
      </c>
      <c r="I12">
        <v>82</v>
      </c>
      <c r="J12">
        <v>113</v>
      </c>
      <c r="K12">
        <v>1.599770642201833</v>
      </c>
      <c r="L12">
        <v>-23.584295612009239</v>
      </c>
      <c r="M12">
        <v>-21.897583429229002</v>
      </c>
    </row>
    <row r="13" spans="1:13" x14ac:dyDescent="0.35">
      <c r="A13" t="s">
        <v>33</v>
      </c>
      <c r="B13">
        <v>11</v>
      </c>
      <c r="C13">
        <v>0</v>
      </c>
      <c r="D13">
        <v>0</v>
      </c>
      <c r="E13">
        <v>11</v>
      </c>
      <c r="F13">
        <v>11</v>
      </c>
      <c r="G13">
        <v>11</v>
      </c>
      <c r="H13">
        <v>11</v>
      </c>
      <c r="I13">
        <v>22</v>
      </c>
      <c r="J13">
        <v>22</v>
      </c>
      <c r="K13">
        <v>0.92087155963302791</v>
      </c>
      <c r="L13">
        <v>0.8510392609699764</v>
      </c>
      <c r="M13">
        <v>1.772151898734176</v>
      </c>
    </row>
    <row r="14" spans="1:13" x14ac:dyDescent="0.35">
      <c r="A14" t="s">
        <v>34</v>
      </c>
      <c r="B14">
        <v>21</v>
      </c>
      <c r="C14">
        <v>0</v>
      </c>
      <c r="D14">
        <v>1</v>
      </c>
      <c r="E14">
        <v>21</v>
      </c>
      <c r="F14">
        <v>22</v>
      </c>
      <c r="G14">
        <v>21</v>
      </c>
      <c r="H14">
        <v>21</v>
      </c>
      <c r="I14">
        <v>42</v>
      </c>
      <c r="J14">
        <v>43</v>
      </c>
      <c r="K14">
        <v>0.84174311926605583</v>
      </c>
      <c r="L14">
        <v>1.624711316397228</v>
      </c>
      <c r="M14">
        <v>2.4637514384349828</v>
      </c>
    </row>
    <row r="15" spans="1:13" x14ac:dyDescent="0.35">
      <c r="A15" t="s">
        <v>35</v>
      </c>
      <c r="B15">
        <v>54</v>
      </c>
      <c r="C15">
        <v>0</v>
      </c>
      <c r="D15">
        <v>1</v>
      </c>
      <c r="E15">
        <v>54</v>
      </c>
      <c r="F15">
        <v>55</v>
      </c>
      <c r="G15">
        <v>54</v>
      </c>
      <c r="H15">
        <v>54</v>
      </c>
      <c r="I15">
        <v>108</v>
      </c>
      <c r="J15">
        <v>109</v>
      </c>
      <c r="K15">
        <v>3.60435779816514</v>
      </c>
      <c r="L15">
        <v>4.1778290993071607</v>
      </c>
      <c r="M15">
        <v>7.7802071346375072</v>
      </c>
    </row>
    <row r="16" spans="1:13" x14ac:dyDescent="0.35">
      <c r="A16" t="s">
        <v>36</v>
      </c>
      <c r="B16">
        <v>28</v>
      </c>
      <c r="C16">
        <v>0</v>
      </c>
      <c r="D16">
        <v>6</v>
      </c>
      <c r="E16">
        <v>28</v>
      </c>
      <c r="F16">
        <v>34</v>
      </c>
      <c r="G16">
        <v>28</v>
      </c>
      <c r="H16">
        <v>28</v>
      </c>
      <c r="I16">
        <v>56</v>
      </c>
      <c r="J16">
        <v>62</v>
      </c>
      <c r="K16">
        <v>-3.1536697247706411</v>
      </c>
      <c r="L16">
        <v>2.1662817551963052</v>
      </c>
      <c r="M16">
        <v>-1.00575373993096</v>
      </c>
    </row>
    <row r="17" spans="1:13" x14ac:dyDescent="0.35">
      <c r="A17" t="s">
        <v>37</v>
      </c>
      <c r="B17">
        <v>25</v>
      </c>
      <c r="C17">
        <v>0</v>
      </c>
      <c r="D17">
        <v>0</v>
      </c>
      <c r="E17">
        <v>25</v>
      </c>
      <c r="F17">
        <v>25</v>
      </c>
      <c r="G17">
        <v>25</v>
      </c>
      <c r="H17">
        <v>25</v>
      </c>
      <c r="I17">
        <v>50</v>
      </c>
      <c r="J17">
        <v>50</v>
      </c>
      <c r="K17">
        <v>2.092889908256883</v>
      </c>
      <c r="L17">
        <v>1.934180138568127</v>
      </c>
      <c r="M17">
        <v>4.0276179516685806</v>
      </c>
    </row>
    <row r="18" spans="1:13" x14ac:dyDescent="0.35">
      <c r="A18" t="s">
        <v>38</v>
      </c>
      <c r="B18">
        <v>70</v>
      </c>
      <c r="C18">
        <v>0</v>
      </c>
      <c r="D18">
        <v>0</v>
      </c>
      <c r="E18">
        <v>70</v>
      </c>
      <c r="F18">
        <v>70</v>
      </c>
      <c r="G18">
        <v>70</v>
      </c>
      <c r="H18">
        <v>70</v>
      </c>
      <c r="I18">
        <v>140</v>
      </c>
      <c r="J18">
        <v>140</v>
      </c>
      <c r="K18">
        <v>5.8600917431192698</v>
      </c>
      <c r="L18">
        <v>5.4157043879907576</v>
      </c>
      <c r="M18">
        <v>11.277330264672029</v>
      </c>
    </row>
    <row r="19" spans="1:13" x14ac:dyDescent="0.35">
      <c r="A19" t="s">
        <v>39</v>
      </c>
      <c r="B19">
        <v>87</v>
      </c>
      <c r="C19">
        <v>0</v>
      </c>
      <c r="D19">
        <v>8</v>
      </c>
      <c r="E19">
        <v>87</v>
      </c>
      <c r="F19">
        <v>95</v>
      </c>
      <c r="G19">
        <v>87</v>
      </c>
      <c r="H19">
        <v>87</v>
      </c>
      <c r="I19">
        <v>174</v>
      </c>
      <c r="J19">
        <v>182</v>
      </c>
      <c r="K19">
        <v>-4.7018348623851132E-2</v>
      </c>
      <c r="L19">
        <v>6.7309468822170828</v>
      </c>
      <c r="M19">
        <v>6.6605293440736384</v>
      </c>
    </row>
    <row r="20" spans="1:13" x14ac:dyDescent="0.35">
      <c r="A20" t="s">
        <v>40</v>
      </c>
      <c r="B20">
        <v>31</v>
      </c>
      <c r="C20">
        <v>1</v>
      </c>
      <c r="D20">
        <v>0</v>
      </c>
      <c r="E20">
        <v>31</v>
      </c>
      <c r="F20">
        <v>31</v>
      </c>
      <c r="G20">
        <v>31</v>
      </c>
      <c r="H20">
        <v>32</v>
      </c>
      <c r="I20">
        <v>62</v>
      </c>
      <c r="J20">
        <v>63</v>
      </c>
      <c r="K20">
        <v>2.595183486238533</v>
      </c>
      <c r="L20">
        <v>1.4757505773672039</v>
      </c>
      <c r="M20">
        <v>4.0747986191024168</v>
      </c>
    </row>
    <row r="21" spans="1:13" x14ac:dyDescent="0.35">
      <c r="A21" t="s">
        <v>41</v>
      </c>
      <c r="B21">
        <v>82</v>
      </c>
      <c r="C21">
        <v>0</v>
      </c>
      <c r="D21">
        <v>18</v>
      </c>
      <c r="E21">
        <v>82</v>
      </c>
      <c r="F21">
        <v>100</v>
      </c>
      <c r="G21">
        <v>82</v>
      </c>
      <c r="H21">
        <v>82</v>
      </c>
      <c r="I21">
        <v>164</v>
      </c>
      <c r="J21">
        <v>182</v>
      </c>
      <c r="K21">
        <v>-9.6284403669724696</v>
      </c>
      <c r="L21">
        <v>6.3441108545034552</v>
      </c>
      <c r="M21">
        <v>-3.3394706559263621</v>
      </c>
    </row>
    <row r="22" spans="1:13" x14ac:dyDescent="0.35">
      <c r="A22" t="s">
        <v>42</v>
      </c>
      <c r="B22">
        <v>43</v>
      </c>
      <c r="C22">
        <v>1</v>
      </c>
      <c r="D22">
        <v>4</v>
      </c>
      <c r="E22">
        <v>43</v>
      </c>
      <c r="F22">
        <v>47</v>
      </c>
      <c r="G22">
        <v>43</v>
      </c>
      <c r="H22">
        <v>44</v>
      </c>
      <c r="I22">
        <v>86</v>
      </c>
      <c r="J22">
        <v>91</v>
      </c>
      <c r="K22">
        <v>-6.5366972477065133E-2</v>
      </c>
      <c r="L22">
        <v>2.404157043879906</v>
      </c>
      <c r="M22">
        <v>2.3302646720368192</v>
      </c>
    </row>
    <row r="23" spans="1:13" x14ac:dyDescent="0.35">
      <c r="A23" t="s">
        <v>43</v>
      </c>
      <c r="B23">
        <v>36</v>
      </c>
      <c r="C23">
        <v>0</v>
      </c>
      <c r="D23">
        <v>0</v>
      </c>
      <c r="E23">
        <v>36</v>
      </c>
      <c r="F23">
        <v>36</v>
      </c>
      <c r="G23">
        <v>36</v>
      </c>
      <c r="H23">
        <v>36</v>
      </c>
      <c r="I23">
        <v>72</v>
      </c>
      <c r="J23">
        <v>72</v>
      </c>
      <c r="K23">
        <v>3.013761467889907</v>
      </c>
      <c r="L23">
        <v>2.7852193995381072</v>
      </c>
      <c r="M23">
        <v>5.7997698504027539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Per_Participant</vt:lpstr>
      <vt:lpstr>Pooled_Summary</vt:lpstr>
      <vt:lpstr>Mean_Median_Mode</vt:lpstr>
      <vt:lpstr>95% CI (cluster-robust)</vt:lpstr>
      <vt:lpstr>CI_Calculation_Detail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Sazonov</cp:lastModifiedBy>
  <dcterms:created xsi:type="dcterms:W3CDTF">2026-08-05T15:59:44Z</dcterms:created>
  <dcterms:modified xsi:type="dcterms:W3CDTF">2026-08-05T21:54:02Z</dcterms:modified>
</cp:coreProperties>
</file>