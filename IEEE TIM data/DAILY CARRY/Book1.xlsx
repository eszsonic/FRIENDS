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_ra\Box Sync\PhD\Friends\Paper\Professor\data collection\daily\"/>
    </mc:Choice>
  </mc:AlternateContent>
  <xr:revisionPtr revIDLastSave="0" documentId="13_ncr:1_{59D19197-8EBE-43B8-BCD7-B318B5433470}" xr6:coauthVersionLast="47" xr6:coauthVersionMax="47" xr10:uidLastSave="{00000000-0000-0000-0000-000000000000}"/>
  <bookViews>
    <workbookView xWindow="-110" yWindow="-110" windowWidth="19420" windowHeight="10420" xr2:uid="{CE672A89-F8D4-4D50-8A92-447B3F700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Z22" i="1"/>
  <c r="AL22" i="1" s="1"/>
  <c r="Y22" i="1"/>
  <c r="R15" i="1" a="1"/>
  <c r="R15" i="1" s="1"/>
  <c r="Q55" i="1"/>
  <c r="Q56" i="1"/>
  <c r="Q57" i="1"/>
  <c r="Q58" i="1"/>
  <c r="Q59" i="1"/>
  <c r="AL59" i="1" s="1"/>
  <c r="Q60" i="1"/>
  <c r="R53" i="1" a="1"/>
  <c r="R53" i="1" s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AL50" i="1" s="1"/>
  <c r="G50" i="1"/>
  <c r="P60" i="1"/>
  <c r="P59" i="1"/>
  <c r="AK59" i="1" s="1"/>
  <c r="AM59" i="1" s="1"/>
  <c r="P58" i="1"/>
  <c r="P57" i="1"/>
  <c r="P56" i="1"/>
  <c r="P55" i="1"/>
  <c r="P21" i="1"/>
  <c r="P20" i="1"/>
  <c r="P19" i="1"/>
  <c r="P18" i="1"/>
  <c r="P17" i="1"/>
  <c r="AM62" i="1"/>
  <c r="AK62" i="1"/>
  <c r="AI62" i="1"/>
  <c r="AL62" i="1" s="1"/>
  <c r="AK61" i="1"/>
  <c r="AM61" i="1" s="1"/>
  <c r="AI61" i="1"/>
  <c r="AL61" i="1" s="1"/>
  <c r="AI60" i="1"/>
  <c r="Z60" i="1"/>
  <c r="Y60" i="1"/>
  <c r="AI59" i="1"/>
  <c r="Z59" i="1"/>
  <c r="Y59" i="1"/>
  <c r="AI58" i="1"/>
  <c r="Z58" i="1"/>
  <c r="Y58" i="1"/>
  <c r="AK58" i="1" s="1"/>
  <c r="AM58" i="1" s="1"/>
  <c r="AI57" i="1"/>
  <c r="AA57" i="1" a="1"/>
  <c r="AA57" i="1" s="1"/>
  <c r="Z57" i="1"/>
  <c r="AL57" i="1" s="1"/>
  <c r="Y57" i="1"/>
  <c r="AI56" i="1"/>
  <c r="AA56" i="1" a="1"/>
  <c r="AA56" i="1" s="1"/>
  <c r="Z56" i="1"/>
  <c r="AL56" i="1" s="1"/>
  <c r="Y56" i="1"/>
  <c r="AK56" i="1" s="1"/>
  <c r="AM56" i="1" s="1"/>
  <c r="AI55" i="1"/>
  <c r="AA55" i="1" a="1"/>
  <c r="AA55" i="1" s="1"/>
  <c r="Z55" i="1"/>
  <c r="AL55" i="1" s="1"/>
  <c r="Y55" i="1"/>
  <c r="AI54" i="1"/>
  <c r="AA54" i="1" a="1"/>
  <c r="AA54" i="1" s="1"/>
  <c r="Z54" i="1"/>
  <c r="Y54" i="1"/>
  <c r="Q54" i="1"/>
  <c r="P54" i="1"/>
  <c r="AK54" i="1" s="1"/>
  <c r="AM54" i="1" s="1"/>
  <c r="AI53" i="1"/>
  <c r="AA53" i="1" a="1"/>
  <c r="AA53" i="1" s="1"/>
  <c r="Z53" i="1"/>
  <c r="Y53" i="1"/>
  <c r="Q53" i="1"/>
  <c r="AL53" i="1" s="1"/>
  <c r="P53" i="1"/>
  <c r="AK53" i="1" s="1"/>
  <c r="AM53" i="1" s="1"/>
  <c r="AL52" i="1"/>
  <c r="AI52" i="1"/>
  <c r="AA52" i="1" a="1"/>
  <c r="AA52" i="1" s="1"/>
  <c r="Z52" i="1"/>
  <c r="Y52" i="1"/>
  <c r="R52" i="1" a="1"/>
  <c r="R52" i="1" s="1"/>
  <c r="Q52" i="1"/>
  <c r="P52" i="1"/>
  <c r="AK52" i="1" s="1"/>
  <c r="AM52" i="1" s="1"/>
  <c r="AL51" i="1"/>
  <c r="AI51" i="1"/>
  <c r="AA51" i="1" a="1"/>
  <c r="AA51" i="1" s="1"/>
  <c r="Z51" i="1"/>
  <c r="Y51" i="1"/>
  <c r="R51" i="1" a="1"/>
  <c r="R51" i="1" s="1"/>
  <c r="Q51" i="1"/>
  <c r="P51" i="1"/>
  <c r="AK51" i="1" s="1"/>
  <c r="AM51" i="1" s="1"/>
  <c r="AI50" i="1"/>
  <c r="AA50" i="1" a="1"/>
  <c r="AA50" i="1" s="1"/>
  <c r="Z50" i="1"/>
  <c r="Y50" i="1"/>
  <c r="R50" i="1" a="1"/>
  <c r="R50" i="1" s="1"/>
  <c r="Q50" i="1"/>
  <c r="P50" i="1"/>
  <c r="AK50" i="1" s="1"/>
  <c r="AM50" i="1" s="1"/>
  <c r="AL49" i="1"/>
  <c r="AI49" i="1"/>
  <c r="AA49" i="1" a="1"/>
  <c r="AA49" i="1" s="1"/>
  <c r="Z49" i="1"/>
  <c r="Y49" i="1"/>
  <c r="R49" i="1" a="1"/>
  <c r="R49" i="1" s="1"/>
  <c r="Q49" i="1"/>
  <c r="P49" i="1"/>
  <c r="H49" i="1"/>
  <c r="G49" i="1"/>
  <c r="AK49" i="1" s="1"/>
  <c r="AM49" i="1" s="1"/>
  <c r="AI48" i="1"/>
  <c r="AL48" i="1" s="1"/>
  <c r="AA48" i="1" a="1"/>
  <c r="AA48" i="1" s="1"/>
  <c r="Z48" i="1"/>
  <c r="Y48" i="1"/>
  <c r="R48" i="1" a="1"/>
  <c r="R48" i="1" s="1"/>
  <c r="Q48" i="1"/>
  <c r="P48" i="1"/>
  <c r="H48" i="1"/>
  <c r="G48" i="1"/>
  <c r="AK48" i="1" s="1"/>
  <c r="AM48" i="1" s="1"/>
  <c r="AL47" i="1"/>
  <c r="AI47" i="1"/>
  <c r="AA47" i="1" a="1"/>
  <c r="AA47" i="1" s="1"/>
  <c r="Z47" i="1"/>
  <c r="Y47" i="1"/>
  <c r="R47" i="1" a="1"/>
  <c r="R47" i="1" s="1"/>
  <c r="Q47" i="1"/>
  <c r="P47" i="1"/>
  <c r="H47" i="1"/>
  <c r="G47" i="1"/>
  <c r="AK47" i="1" s="1"/>
  <c r="AM47" i="1" s="1"/>
  <c r="AL46" i="1"/>
  <c r="AI46" i="1"/>
  <c r="AA46" i="1" a="1"/>
  <c r="AA46" i="1" s="1"/>
  <c r="Z46" i="1"/>
  <c r="Y46" i="1"/>
  <c r="R46" i="1" a="1"/>
  <c r="R46" i="1" s="1"/>
  <c r="Q46" i="1"/>
  <c r="P46" i="1"/>
  <c r="I46" i="1" a="1"/>
  <c r="I46" i="1" s="1"/>
  <c r="H46" i="1"/>
  <c r="G46" i="1"/>
  <c r="AK46" i="1" s="1"/>
  <c r="AM46" i="1" s="1"/>
  <c r="AL45" i="1"/>
  <c r="AI45" i="1"/>
  <c r="AA45" i="1" a="1"/>
  <c r="AA45" i="1" s="1"/>
  <c r="Z45" i="1"/>
  <c r="Y45" i="1"/>
  <c r="R45" i="1" a="1"/>
  <c r="R45" i="1" s="1"/>
  <c r="Q45" i="1"/>
  <c r="P45" i="1"/>
  <c r="I45" i="1" a="1"/>
  <c r="I45" i="1" s="1"/>
  <c r="H45" i="1"/>
  <c r="G45" i="1"/>
  <c r="AK45" i="1" s="1"/>
  <c r="AM45" i="1" s="1"/>
  <c r="AL44" i="1"/>
  <c r="AI44" i="1"/>
  <c r="AA44" i="1" a="1"/>
  <c r="AA44" i="1" s="1"/>
  <c r="Z44" i="1"/>
  <c r="Y44" i="1"/>
  <c r="R44" i="1" a="1"/>
  <c r="R44" i="1" s="1"/>
  <c r="Q44" i="1"/>
  <c r="P44" i="1"/>
  <c r="I44" i="1" a="1"/>
  <c r="I44" i="1" s="1"/>
  <c r="H44" i="1"/>
  <c r="G44" i="1"/>
  <c r="AK44" i="1" s="1"/>
  <c r="AM44" i="1" s="1"/>
  <c r="AL43" i="1"/>
  <c r="AI43" i="1"/>
  <c r="AA43" i="1" a="1"/>
  <c r="AA43" i="1" s="1"/>
  <c r="Z43" i="1"/>
  <c r="Y43" i="1"/>
  <c r="R43" i="1" a="1"/>
  <c r="R43" i="1" s="1"/>
  <c r="P43" i="1"/>
  <c r="I43" i="1"/>
  <c r="I43" i="1" a="1"/>
  <c r="G43" i="1"/>
  <c r="AK43" i="1" s="1"/>
  <c r="AM43" i="1" s="1"/>
  <c r="AI42" i="1"/>
  <c r="AL42" i="1" s="1"/>
  <c r="AA42" i="1" a="1"/>
  <c r="AA42" i="1" s="1"/>
  <c r="Y42" i="1"/>
  <c r="R42" i="1" a="1"/>
  <c r="R42" i="1" s="1"/>
  <c r="P42" i="1"/>
  <c r="I42" i="1" a="1"/>
  <c r="I42" i="1" s="1"/>
  <c r="G42" i="1"/>
  <c r="AK42" i="1" s="1"/>
  <c r="AM42" i="1" s="1"/>
  <c r="AL37" i="1"/>
  <c r="AK37" i="1"/>
  <c r="AM37" i="1" s="1"/>
  <c r="AL36" i="1"/>
  <c r="G36" i="1"/>
  <c r="AK36" i="1" s="1"/>
  <c r="AM36" i="1" s="1"/>
  <c r="AL35" i="1"/>
  <c r="G35" i="1"/>
  <c r="AK35" i="1" s="1"/>
  <c r="AM35" i="1" s="1"/>
  <c r="AL34" i="1"/>
  <c r="G34" i="1"/>
  <c r="AK34" i="1" s="1"/>
  <c r="AM34" i="1" s="1"/>
  <c r="AL33" i="1"/>
  <c r="G33" i="1"/>
  <c r="AK33" i="1" s="1"/>
  <c r="AM33" i="1" s="1"/>
  <c r="AL32" i="1"/>
  <c r="G32" i="1"/>
  <c r="AK32" i="1" s="1"/>
  <c r="AM32" i="1" s="1"/>
  <c r="AL31" i="1"/>
  <c r="G31" i="1"/>
  <c r="AK31" i="1" s="1"/>
  <c r="AM31" i="1" s="1"/>
  <c r="AL30" i="1"/>
  <c r="G30" i="1"/>
  <c r="AK30" i="1" s="1"/>
  <c r="AM30" i="1" s="1"/>
  <c r="AI29" i="1"/>
  <c r="AL29" i="1" s="1"/>
  <c r="G29" i="1"/>
  <c r="AK29" i="1" s="1"/>
  <c r="AM29" i="1" s="1"/>
  <c r="AK28" i="1"/>
  <c r="AM28" i="1" s="1"/>
  <c r="AI28" i="1"/>
  <c r="AL28" i="1" s="1"/>
  <c r="G28" i="1"/>
  <c r="AL27" i="1"/>
  <c r="AK27" i="1"/>
  <c r="AM27" i="1" s="1"/>
  <c r="AI27" i="1"/>
  <c r="G27" i="1"/>
  <c r="AI26" i="1"/>
  <c r="AL26" i="1" s="1"/>
  <c r="G26" i="1"/>
  <c r="AK26" i="1" s="1"/>
  <c r="AM26" i="1" s="1"/>
  <c r="AI25" i="1"/>
  <c r="AL25" i="1" s="1"/>
  <c r="G25" i="1"/>
  <c r="AK25" i="1" s="1"/>
  <c r="AM25" i="1" s="1"/>
  <c r="AK24" i="1"/>
  <c r="AM24" i="1" s="1"/>
  <c r="AI24" i="1"/>
  <c r="AL24" i="1" s="1"/>
  <c r="G24" i="1"/>
  <c r="AL23" i="1"/>
  <c r="AI23" i="1"/>
  <c r="G23" i="1"/>
  <c r="AK23" i="1" s="1"/>
  <c r="AM23" i="1" s="1"/>
  <c r="AI22" i="1"/>
  <c r="G22" i="1"/>
  <c r="AI21" i="1"/>
  <c r="Z21" i="1"/>
  <c r="AL21" i="1" s="1"/>
  <c r="Y21" i="1"/>
  <c r="AK21" i="1" s="1"/>
  <c r="AM21" i="1" s="1"/>
  <c r="G21" i="1"/>
  <c r="AI20" i="1"/>
  <c r="Z20" i="1"/>
  <c r="AL20" i="1" s="1"/>
  <c r="Y20" i="1"/>
  <c r="AK20" i="1" s="1"/>
  <c r="AM20" i="1" s="1"/>
  <c r="G20" i="1"/>
  <c r="AI19" i="1"/>
  <c r="AA19" i="1" a="1"/>
  <c r="AA19" i="1" s="1"/>
  <c r="Z19" i="1"/>
  <c r="AL19" i="1" s="1"/>
  <c r="Y19" i="1"/>
  <c r="AK19" i="1" s="1"/>
  <c r="AM19" i="1" s="1"/>
  <c r="G19" i="1"/>
  <c r="AI18" i="1"/>
  <c r="AA18" i="1" a="1"/>
  <c r="AA18" i="1" s="1"/>
  <c r="Z18" i="1"/>
  <c r="AL18" i="1" s="1"/>
  <c r="Y18" i="1"/>
  <c r="G18" i="1"/>
  <c r="AI17" i="1"/>
  <c r="AL17" i="1" s="1"/>
  <c r="AA17" i="1"/>
  <c r="AA17" i="1" a="1"/>
  <c r="Z17" i="1"/>
  <c r="Y17" i="1"/>
  <c r="G17" i="1"/>
  <c r="AK16" i="1"/>
  <c r="AM16" i="1" s="1"/>
  <c r="AI16" i="1"/>
  <c r="AA16" i="1"/>
  <c r="AA16" i="1" a="1"/>
  <c r="Z16" i="1"/>
  <c r="AL16" i="1" s="1"/>
  <c r="Y16" i="1"/>
  <c r="P16" i="1"/>
  <c r="G16" i="1"/>
  <c r="AL15" i="1"/>
  <c r="AI15" i="1"/>
  <c r="AA15" i="1"/>
  <c r="AA15" i="1" a="1"/>
  <c r="Z15" i="1"/>
  <c r="Y15" i="1"/>
  <c r="P15" i="1"/>
  <c r="G15" i="1"/>
  <c r="AK15" i="1" s="1"/>
  <c r="AM15" i="1" s="1"/>
  <c r="AI14" i="1"/>
  <c r="AA14" i="1"/>
  <c r="AA14" i="1" a="1"/>
  <c r="Z14" i="1"/>
  <c r="AL14" i="1" s="1"/>
  <c r="Y14" i="1"/>
  <c r="R14" i="1"/>
  <c r="R14" i="1" a="1"/>
  <c r="P14" i="1"/>
  <c r="AK14" i="1" s="1"/>
  <c r="AM14" i="1" s="1"/>
  <c r="G14" i="1"/>
  <c r="AI13" i="1"/>
  <c r="AA13" i="1"/>
  <c r="AA13" i="1" a="1"/>
  <c r="Z13" i="1"/>
  <c r="AL13" i="1" s="1"/>
  <c r="Y13" i="1"/>
  <c r="R13" i="1"/>
  <c r="R13" i="1" a="1"/>
  <c r="P13" i="1"/>
  <c r="G13" i="1"/>
  <c r="AK13" i="1" s="1"/>
  <c r="AM13" i="1" s="1"/>
  <c r="AI12" i="1"/>
  <c r="AA12" i="1"/>
  <c r="AA12" i="1" a="1"/>
  <c r="Z12" i="1"/>
  <c r="AL12" i="1" s="1"/>
  <c r="Y12" i="1"/>
  <c r="R12" i="1"/>
  <c r="R12" i="1" a="1"/>
  <c r="P12" i="1"/>
  <c r="AK12" i="1" s="1"/>
  <c r="AM12" i="1" s="1"/>
  <c r="G12" i="1"/>
  <c r="AI11" i="1"/>
  <c r="AA11" i="1"/>
  <c r="AA11" i="1" a="1"/>
  <c r="Z11" i="1"/>
  <c r="AL11" i="1" s="1"/>
  <c r="Y11" i="1"/>
  <c r="R11" i="1" a="1"/>
  <c r="R11" i="1" s="1"/>
  <c r="P11" i="1"/>
  <c r="G11" i="1"/>
  <c r="AK11" i="1" s="1"/>
  <c r="AM11" i="1" s="1"/>
  <c r="AI10" i="1"/>
  <c r="AA10" i="1" a="1"/>
  <c r="AA10" i="1" s="1"/>
  <c r="Z10" i="1"/>
  <c r="AL10" i="1" s="1"/>
  <c r="Y10" i="1"/>
  <c r="R10" i="1"/>
  <c r="R10" i="1" a="1"/>
  <c r="P10" i="1"/>
  <c r="AK10" i="1" s="1"/>
  <c r="AM10" i="1" s="1"/>
  <c r="G10" i="1"/>
  <c r="AI9" i="1"/>
  <c r="AA9" i="1"/>
  <c r="AA9" i="1" a="1"/>
  <c r="Z9" i="1"/>
  <c r="AL9" i="1" s="1"/>
  <c r="Y9" i="1"/>
  <c r="R9" i="1" a="1"/>
  <c r="R9" i="1" s="1"/>
  <c r="P9" i="1"/>
  <c r="AK9" i="1" s="1"/>
  <c r="AM9" i="1" s="1"/>
  <c r="I9" i="1"/>
  <c r="I9" i="1" a="1"/>
  <c r="G9" i="1"/>
  <c r="AI8" i="1"/>
  <c r="AA8" i="1" a="1"/>
  <c r="AA8" i="1" s="1"/>
  <c r="Z8" i="1"/>
  <c r="AL8" i="1" s="1"/>
  <c r="Y8" i="1"/>
  <c r="R8" i="1"/>
  <c r="R8" i="1" a="1"/>
  <c r="P8" i="1"/>
  <c r="I8" i="1" a="1"/>
  <c r="I8" i="1" s="1"/>
  <c r="G8" i="1"/>
  <c r="AK8" i="1" s="1"/>
  <c r="AM8" i="1" s="1"/>
  <c r="AI7" i="1"/>
  <c r="AA7" i="1" a="1"/>
  <c r="AA7" i="1" s="1"/>
  <c r="Z7" i="1"/>
  <c r="AL7" i="1" s="1"/>
  <c r="Y7" i="1"/>
  <c r="R7" i="1"/>
  <c r="R7" i="1" a="1"/>
  <c r="P7" i="1"/>
  <c r="AK7" i="1" s="1"/>
  <c r="AM7" i="1" s="1"/>
  <c r="I7" i="1" a="1"/>
  <c r="I7" i="1" s="1"/>
  <c r="G7" i="1"/>
  <c r="AL6" i="1"/>
  <c r="AI6" i="1"/>
  <c r="AA6" i="1"/>
  <c r="AA6" i="1" a="1"/>
  <c r="Z6" i="1"/>
  <c r="Y6" i="1"/>
  <c r="R6" i="1" a="1"/>
  <c r="R6" i="1" s="1"/>
  <c r="P6" i="1"/>
  <c r="I6" i="1" a="1"/>
  <c r="I6" i="1" s="1"/>
  <c r="G6" i="1"/>
  <c r="AK6" i="1" s="1"/>
  <c r="AM6" i="1" s="1"/>
  <c r="AI5" i="1"/>
  <c r="AL5" i="1" s="1"/>
  <c r="AA5" i="1"/>
  <c r="AA5" i="1" a="1"/>
  <c r="Y5" i="1"/>
  <c r="AK5" i="1" s="1"/>
  <c r="AM5" i="1" s="1"/>
  <c r="R5" i="1" a="1"/>
  <c r="R5" i="1" s="1"/>
  <c r="P5" i="1"/>
  <c r="I5" i="1" a="1"/>
  <c r="I5" i="1" s="1"/>
  <c r="G5" i="1"/>
  <c r="AL4" i="1"/>
  <c r="AI4" i="1"/>
  <c r="AA4" i="1" a="1"/>
  <c r="AA4" i="1" s="1"/>
  <c r="Y4" i="1"/>
  <c r="R4" i="1"/>
  <c r="R4" i="1" a="1"/>
  <c r="P4" i="1"/>
  <c r="I4" i="1" a="1"/>
  <c r="I4" i="1" s="1"/>
  <c r="G4" i="1"/>
  <c r="AK4" i="1" s="1"/>
  <c r="AM4" i="1" s="1"/>
  <c r="AK22" i="1" l="1"/>
  <c r="AM22" i="1" s="1"/>
  <c r="AL60" i="1"/>
  <c r="AL58" i="1"/>
  <c r="AK55" i="1"/>
  <c r="AM55" i="1" s="1"/>
  <c r="AK57" i="1"/>
  <c r="AM57" i="1" s="1"/>
  <c r="AK60" i="1"/>
  <c r="AM60" i="1" s="1"/>
  <c r="AL54" i="1"/>
  <c r="AK18" i="1"/>
  <c r="AM18" i="1" s="1"/>
  <c r="AK17" i="1"/>
  <c r="AM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<sst xmlns="http://schemas.openxmlformats.org/spreadsheetml/2006/main" count="88" uniqueCount="17">
  <si>
    <t>Geekbar With Thermistor</t>
  </si>
  <si>
    <t>1s puff duration</t>
  </si>
  <si>
    <t>2s puff dration</t>
  </si>
  <si>
    <t>3s puff dration</t>
  </si>
  <si>
    <t>False positives in Pocket Carry</t>
  </si>
  <si>
    <t>5 days total</t>
  </si>
  <si>
    <t>Threshold</t>
  </si>
  <si>
    <t>Day1</t>
  </si>
  <si>
    <t>Day2</t>
  </si>
  <si>
    <t>Day3</t>
  </si>
  <si>
    <t>Day4</t>
  </si>
  <si>
    <t>Day5</t>
  </si>
  <si>
    <t>Total TP</t>
  </si>
  <si>
    <t>Total FP</t>
  </si>
  <si>
    <t>Total FN</t>
  </si>
  <si>
    <t>Total</t>
  </si>
  <si>
    <t>NJOY Without Thermistor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</si>
</sst>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63D1-7E3C-4379-958A-2A56D8DEEA53}">
  <dimension ref="A1:AM62"/>
  <sheetViews>
    <sheetView tabSelected="1" topLeftCell="F10" workbookViewId="0">
      <selection activeCell="Q4" sqref="Q4"/>
    </sheetView>
  </sheetViews>
  <sheetFormatPr defaultRowHeight="14.5" x14ac:dyDescent="0.35"/>
  <sheetData>
    <row r="1" spans="1:39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5">
      <c r="A2" s="3" t="s">
        <v>1</v>
      </c>
      <c r="B2" s="3"/>
      <c r="C2" s="3"/>
      <c r="D2" s="3"/>
      <c r="E2" s="3"/>
      <c r="F2" s="3"/>
      <c r="G2" s="3"/>
      <c r="H2" s="3"/>
      <c r="J2" s="3" t="s">
        <v>2</v>
      </c>
      <c r="K2" s="3"/>
      <c r="L2" s="3"/>
      <c r="M2" s="3"/>
      <c r="N2" s="3"/>
      <c r="O2" s="3"/>
      <c r="P2" s="3"/>
      <c r="Q2" s="3"/>
      <c r="S2" s="3" t="s">
        <v>3</v>
      </c>
      <c r="T2" s="3"/>
      <c r="U2" s="3"/>
      <c r="V2" s="3"/>
      <c r="W2" s="3"/>
      <c r="X2" s="3"/>
      <c r="Y2" s="3"/>
      <c r="Z2" s="3"/>
      <c r="AC2" s="3" t="s">
        <v>4</v>
      </c>
      <c r="AD2" s="3"/>
      <c r="AE2" s="3"/>
      <c r="AF2" s="3"/>
      <c r="AG2" s="3"/>
      <c r="AH2" s="3"/>
      <c r="AI2" s="3"/>
      <c r="AJ2" s="3" t="s">
        <v>5</v>
      </c>
      <c r="AK2" s="3"/>
      <c r="AL2" s="3"/>
      <c r="AM2" s="3"/>
    </row>
    <row r="3" spans="1:39" x14ac:dyDescent="0.35">
      <c r="A3" s="1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s="1" t="s">
        <v>12</v>
      </c>
      <c r="H3" s="1" t="s">
        <v>13</v>
      </c>
      <c r="I3" s="1" t="s">
        <v>14</v>
      </c>
      <c r="J3" s="1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s="1" t="s">
        <v>12</v>
      </c>
      <c r="Q3" s="1" t="s">
        <v>13</v>
      </c>
      <c r="R3" s="1" t="s">
        <v>14</v>
      </c>
      <c r="S3" s="1" t="s">
        <v>6</v>
      </c>
      <c r="T3" t="s">
        <v>7</v>
      </c>
      <c r="U3" t="s">
        <v>8</v>
      </c>
      <c r="V3" t="s">
        <v>9</v>
      </c>
      <c r="W3" t="s">
        <v>10</v>
      </c>
      <c r="X3" t="s">
        <v>11</v>
      </c>
      <c r="Y3" s="1" t="s">
        <v>12</v>
      </c>
      <c r="Z3" s="1" t="s">
        <v>13</v>
      </c>
      <c r="AA3" s="1" t="s">
        <v>14</v>
      </c>
      <c r="AC3" s="1" t="s">
        <v>6</v>
      </c>
      <c r="AD3" t="s">
        <v>7</v>
      </c>
      <c r="AE3" t="s">
        <v>8</v>
      </c>
      <c r="AF3" t="s">
        <v>9</v>
      </c>
      <c r="AG3" t="s">
        <v>10</v>
      </c>
      <c r="AH3" t="s">
        <v>11</v>
      </c>
      <c r="AI3" s="1" t="s">
        <v>15</v>
      </c>
      <c r="AJ3" s="1" t="s">
        <v>6</v>
      </c>
      <c r="AK3" s="1" t="s">
        <v>12</v>
      </c>
      <c r="AL3" s="1" t="s">
        <v>13</v>
      </c>
      <c r="AM3" s="1" t="s">
        <v>14</v>
      </c>
    </row>
    <row r="4" spans="1:39" x14ac:dyDescent="0.35">
      <c r="A4">
        <v>0</v>
      </c>
      <c r="B4">
        <v>30</v>
      </c>
      <c r="C4">
        <v>30</v>
      </c>
      <c r="D4">
        <v>30</v>
      </c>
      <c r="E4">
        <v>30</v>
      </c>
      <c r="F4">
        <v>30</v>
      </c>
      <c r="G4">
        <f>SUM(MIN(B4,30),MIN(C4,30),MIN(D4,30),MIN(E4,30), MIN(F4,30))</f>
        <v>150</v>
      </c>
      <c r="H4">
        <v>2</v>
      </c>
      <c r="I4" cm="1">
        <f t="array" ref="I4">SUMPRODUCT((B4:F4&lt;30)*(30-B4:F4))</f>
        <v>0</v>
      </c>
      <c r="J4">
        <v>0</v>
      </c>
      <c r="K4">
        <v>30</v>
      </c>
      <c r="L4">
        <v>30</v>
      </c>
      <c r="M4">
        <v>26</v>
      </c>
      <c r="N4">
        <v>29</v>
      </c>
      <c r="O4">
        <v>30</v>
      </c>
      <c r="P4">
        <f>SUM(MIN(K4,30),MIN(L4,30),MIN(M4,30),MIN(N4,30), MIN(O4,30))</f>
        <v>145</v>
      </c>
      <c r="Q4">
        <v>2</v>
      </c>
      <c r="R4" cm="1">
        <f t="array" ref="R4">SUMPRODUCT((K4:O4&lt;30)*(30-K4:O4))</f>
        <v>5</v>
      </c>
      <c r="S4">
        <v>0</v>
      </c>
      <c r="T4">
        <v>30</v>
      </c>
      <c r="U4">
        <v>28</v>
      </c>
      <c r="V4">
        <v>20</v>
      </c>
      <c r="W4">
        <v>30</v>
      </c>
      <c r="X4">
        <v>30</v>
      </c>
      <c r="Y4">
        <f>SUM(MIN(T4,30),MIN(U4,30),MIN(V4,30),MIN(W4,30), MIN(X4,30))</f>
        <v>138</v>
      </c>
      <c r="Z4">
        <v>1</v>
      </c>
      <c r="AA4" cm="1">
        <f t="array" ref="AA4">SUMPRODUCT((T4:X4&lt;30)*(30-T4:X4))</f>
        <v>12</v>
      </c>
      <c r="AC4">
        <v>0</v>
      </c>
      <c r="AD4">
        <v>3</v>
      </c>
      <c r="AE4">
        <v>1</v>
      </c>
      <c r="AF4">
        <v>0</v>
      </c>
      <c r="AG4">
        <v>32</v>
      </c>
      <c r="AH4">
        <v>1</v>
      </c>
      <c r="AI4">
        <f t="shared" ref="AI4:AI29" si="0">SUM(AD4:AH4)</f>
        <v>37</v>
      </c>
      <c r="AJ4">
        <v>0</v>
      </c>
      <c r="AK4">
        <f t="shared" ref="AK4:AK37" si="1">SUM(G4,P4,Y4)</f>
        <v>433</v>
      </c>
      <c r="AL4">
        <f>SUM(H4,Q4,Z4, AI4)</f>
        <v>42</v>
      </c>
      <c r="AM4">
        <f>MAX(450-AK4,0)</f>
        <v>17</v>
      </c>
    </row>
    <row r="5" spans="1:39" x14ac:dyDescent="0.35">
      <c r="A5">
        <v>0.2</v>
      </c>
      <c r="B5">
        <v>30</v>
      </c>
      <c r="C5">
        <v>30</v>
      </c>
      <c r="D5">
        <v>30</v>
      </c>
      <c r="E5">
        <v>29</v>
      </c>
      <c r="F5">
        <v>30</v>
      </c>
      <c r="G5">
        <f t="shared" ref="G5:G36" si="2">SUM(MIN(B5,30),MIN(C5,30),MIN(D5,30),MIN(E5,30), MIN(F5,30))</f>
        <v>149</v>
      </c>
      <c r="H5">
        <v>1</v>
      </c>
      <c r="I5" cm="1">
        <f t="array" ref="I5">SUMPRODUCT((B5:F5&lt;30)*(30-B5:F5))</f>
        <v>1</v>
      </c>
      <c r="J5">
        <v>0.2</v>
      </c>
      <c r="K5">
        <v>30</v>
      </c>
      <c r="L5">
        <v>30</v>
      </c>
      <c r="M5">
        <v>26</v>
      </c>
      <c r="N5">
        <v>29</v>
      </c>
      <c r="O5">
        <v>30</v>
      </c>
      <c r="P5">
        <f t="shared" ref="P5:P16" si="3">SUM(MIN(K5,30),MIN(L5,30),MIN(M5,30),MIN(N5,30), MIN(O5,30))</f>
        <v>145</v>
      </c>
      <c r="Q5">
        <v>1</v>
      </c>
      <c r="R5" cm="1">
        <f t="array" ref="R5">SUMPRODUCT((K5:O5&lt;30)*(30-K5:O5))</f>
        <v>5</v>
      </c>
      <c r="S5">
        <v>0.2</v>
      </c>
      <c r="T5">
        <v>30</v>
      </c>
      <c r="U5">
        <v>28</v>
      </c>
      <c r="V5">
        <v>20</v>
      </c>
      <c r="W5">
        <v>30</v>
      </c>
      <c r="X5">
        <v>30</v>
      </c>
      <c r="Y5">
        <f t="shared" ref="Y5:Y21" si="4">SUM(MIN(T5,30),MIN(U5,30),MIN(V5,30),MIN(W5,30), MIN(X5,30))</f>
        <v>138</v>
      </c>
      <c r="Z5">
        <v>1</v>
      </c>
      <c r="AA5" cm="1">
        <f t="array" ref="AA5">SUMPRODUCT((T5:X5&lt;30)*(30-T5:X5))</f>
        <v>12</v>
      </c>
      <c r="AC5">
        <v>0.2</v>
      </c>
      <c r="AD5">
        <v>3</v>
      </c>
      <c r="AE5">
        <v>0</v>
      </c>
      <c r="AF5">
        <v>0</v>
      </c>
      <c r="AG5">
        <v>32</v>
      </c>
      <c r="AH5">
        <v>0</v>
      </c>
      <c r="AI5">
        <f t="shared" si="0"/>
        <v>35</v>
      </c>
      <c r="AJ5">
        <v>0.2</v>
      </c>
      <c r="AK5">
        <f t="shared" si="1"/>
        <v>432</v>
      </c>
      <c r="AL5">
        <f t="shared" ref="AL5:AL37" si="5">SUM(H5,Q5,Z5, AI5)</f>
        <v>38</v>
      </c>
      <c r="AM5">
        <f t="shared" ref="AM5:AM37" si="6">MAX(450-AK5,0)</f>
        <v>18</v>
      </c>
    </row>
    <row r="6" spans="1:39" x14ac:dyDescent="0.35">
      <c r="A6">
        <v>0.4</v>
      </c>
      <c r="B6">
        <v>30</v>
      </c>
      <c r="C6">
        <v>30</v>
      </c>
      <c r="D6">
        <v>30</v>
      </c>
      <c r="E6">
        <v>29</v>
      </c>
      <c r="F6">
        <v>30</v>
      </c>
      <c r="G6">
        <f t="shared" si="2"/>
        <v>149</v>
      </c>
      <c r="H6">
        <v>0</v>
      </c>
      <c r="I6" cm="1">
        <f t="array" ref="I6">SUMPRODUCT((B6:F6&lt;30)*(30-B6:F6))</f>
        <v>1</v>
      </c>
      <c r="J6">
        <v>0.4</v>
      </c>
      <c r="K6">
        <v>30</v>
      </c>
      <c r="L6">
        <v>30</v>
      </c>
      <c r="M6">
        <v>26</v>
      </c>
      <c r="N6">
        <v>29</v>
      </c>
      <c r="O6">
        <v>29</v>
      </c>
      <c r="P6">
        <f t="shared" si="3"/>
        <v>144</v>
      </c>
      <c r="Q6">
        <v>1</v>
      </c>
      <c r="R6" cm="1">
        <f t="array" ref="R6">SUMPRODUCT((K6:O6&lt;30)*(30-K6:O6))</f>
        <v>6</v>
      </c>
      <c r="S6">
        <v>0.4</v>
      </c>
      <c r="T6">
        <v>30</v>
      </c>
      <c r="U6">
        <v>28</v>
      </c>
      <c r="V6">
        <v>20</v>
      </c>
      <c r="W6">
        <v>30</v>
      </c>
      <c r="X6">
        <v>30</v>
      </c>
      <c r="Y6">
        <f t="shared" si="4"/>
        <v>138</v>
      </c>
      <c r="Z6">
        <f t="shared" ref="Z6:Z21" si="7">SUM(MAX(T6-30,0),MAX(U6-30,0),MAX(V6-30,0),MAX(W6-30,0),MAX(X6-30,0))</f>
        <v>0</v>
      </c>
      <c r="AA6" cm="1">
        <f t="array" ref="AA6">SUMPRODUCT((T6:X6&lt;30)*(30-T6:X6))</f>
        <v>12</v>
      </c>
      <c r="AC6">
        <v>0.4</v>
      </c>
      <c r="AD6">
        <v>2</v>
      </c>
      <c r="AE6">
        <v>0</v>
      </c>
      <c r="AF6">
        <v>0</v>
      </c>
      <c r="AG6">
        <v>17</v>
      </c>
      <c r="AH6">
        <v>0</v>
      </c>
      <c r="AI6">
        <f t="shared" si="0"/>
        <v>19</v>
      </c>
      <c r="AJ6">
        <v>0.4</v>
      </c>
      <c r="AK6">
        <f t="shared" si="1"/>
        <v>431</v>
      </c>
      <c r="AL6">
        <f t="shared" si="5"/>
        <v>20</v>
      </c>
      <c r="AM6">
        <f t="shared" si="6"/>
        <v>19</v>
      </c>
    </row>
    <row r="7" spans="1:39" x14ac:dyDescent="0.35">
      <c r="A7">
        <v>0.6</v>
      </c>
      <c r="B7">
        <v>30</v>
      </c>
      <c r="C7">
        <v>30</v>
      </c>
      <c r="D7">
        <v>30</v>
      </c>
      <c r="E7">
        <v>29</v>
      </c>
      <c r="F7">
        <v>30</v>
      </c>
      <c r="G7">
        <f t="shared" si="2"/>
        <v>149</v>
      </c>
      <c r="H7">
        <v>0</v>
      </c>
      <c r="I7" cm="1">
        <f t="array" ref="I7">SUMPRODUCT((B7:F7&lt;30)*(30-B7:F7))</f>
        <v>1</v>
      </c>
      <c r="J7">
        <v>0.6</v>
      </c>
      <c r="K7">
        <v>30</v>
      </c>
      <c r="L7">
        <v>30</v>
      </c>
      <c r="M7">
        <v>26</v>
      </c>
      <c r="N7">
        <v>29</v>
      </c>
      <c r="O7">
        <v>26</v>
      </c>
      <c r="P7">
        <f t="shared" si="3"/>
        <v>141</v>
      </c>
      <c r="Q7">
        <v>1</v>
      </c>
      <c r="R7" cm="1">
        <f t="array" ref="R7">SUMPRODUCT((K7:O7&lt;30)*(30-K7:O7))</f>
        <v>9</v>
      </c>
      <c r="S7">
        <v>0.6</v>
      </c>
      <c r="T7">
        <v>30</v>
      </c>
      <c r="U7">
        <v>28</v>
      </c>
      <c r="V7">
        <v>19</v>
      </c>
      <c r="W7">
        <v>30</v>
      </c>
      <c r="X7">
        <v>30</v>
      </c>
      <c r="Y7">
        <f t="shared" si="4"/>
        <v>137</v>
      </c>
      <c r="Z7">
        <f t="shared" si="7"/>
        <v>0</v>
      </c>
      <c r="AA7" cm="1">
        <f t="array" ref="AA7">SUMPRODUCT((T7:X7&lt;30)*(30-T7:X7))</f>
        <v>13</v>
      </c>
      <c r="AC7">
        <v>0.6</v>
      </c>
      <c r="AD7">
        <v>2</v>
      </c>
      <c r="AE7">
        <v>0</v>
      </c>
      <c r="AF7">
        <v>0</v>
      </c>
      <c r="AG7">
        <v>17</v>
      </c>
      <c r="AH7">
        <v>0</v>
      </c>
      <c r="AI7">
        <f t="shared" si="0"/>
        <v>19</v>
      </c>
      <c r="AJ7">
        <v>0.6</v>
      </c>
      <c r="AK7">
        <f t="shared" si="1"/>
        <v>427</v>
      </c>
      <c r="AL7">
        <f t="shared" si="5"/>
        <v>20</v>
      </c>
      <c r="AM7">
        <f t="shared" si="6"/>
        <v>23</v>
      </c>
    </row>
    <row r="8" spans="1:39" x14ac:dyDescent="0.35">
      <c r="A8">
        <v>0.8</v>
      </c>
      <c r="B8">
        <v>29</v>
      </c>
      <c r="C8">
        <v>30</v>
      </c>
      <c r="D8">
        <v>29</v>
      </c>
      <c r="E8">
        <v>29</v>
      </c>
      <c r="F8">
        <v>30</v>
      </c>
      <c r="G8">
        <f t="shared" si="2"/>
        <v>147</v>
      </c>
      <c r="H8">
        <v>0</v>
      </c>
      <c r="I8" cm="1">
        <f t="array" ref="I8">SUMPRODUCT((B8:F8&lt;30)*(30-B8:F8))</f>
        <v>3</v>
      </c>
      <c r="J8">
        <v>0.8</v>
      </c>
      <c r="K8">
        <v>30</v>
      </c>
      <c r="L8">
        <v>30</v>
      </c>
      <c r="M8">
        <v>26</v>
      </c>
      <c r="N8">
        <v>29</v>
      </c>
      <c r="O8">
        <v>26</v>
      </c>
      <c r="P8">
        <f t="shared" si="3"/>
        <v>141</v>
      </c>
      <c r="Q8">
        <v>1</v>
      </c>
      <c r="R8" cm="1">
        <f t="array" ref="R8">SUMPRODUCT((K8:O8&lt;30)*(30-K8:O8))</f>
        <v>9</v>
      </c>
      <c r="S8">
        <v>0.8</v>
      </c>
      <c r="T8">
        <v>30</v>
      </c>
      <c r="U8">
        <v>28</v>
      </c>
      <c r="V8">
        <v>19</v>
      </c>
      <c r="W8">
        <v>30</v>
      </c>
      <c r="X8">
        <v>30</v>
      </c>
      <c r="Y8">
        <f t="shared" si="4"/>
        <v>137</v>
      </c>
      <c r="Z8">
        <f t="shared" si="7"/>
        <v>0</v>
      </c>
      <c r="AA8" cm="1">
        <f t="array" ref="AA8">SUMPRODUCT((T8:X8&lt;30)*(30-T8:X8))</f>
        <v>13</v>
      </c>
      <c r="AC8">
        <v>0.8</v>
      </c>
      <c r="AD8">
        <v>1</v>
      </c>
      <c r="AE8">
        <v>0</v>
      </c>
      <c r="AF8">
        <v>0</v>
      </c>
      <c r="AG8">
        <v>13</v>
      </c>
      <c r="AH8">
        <v>0</v>
      </c>
      <c r="AI8">
        <f t="shared" si="0"/>
        <v>14</v>
      </c>
      <c r="AJ8">
        <v>0.8</v>
      </c>
      <c r="AK8">
        <f t="shared" si="1"/>
        <v>425</v>
      </c>
      <c r="AL8">
        <f t="shared" si="5"/>
        <v>15</v>
      </c>
      <c r="AM8">
        <f t="shared" si="6"/>
        <v>25</v>
      </c>
    </row>
    <row r="9" spans="1:39" x14ac:dyDescent="0.35">
      <c r="A9">
        <v>1</v>
      </c>
      <c r="B9">
        <v>29</v>
      </c>
      <c r="C9">
        <v>30</v>
      </c>
      <c r="D9">
        <v>29</v>
      </c>
      <c r="E9">
        <v>29</v>
      </c>
      <c r="F9">
        <v>30</v>
      </c>
      <c r="G9">
        <f t="shared" si="2"/>
        <v>147</v>
      </c>
      <c r="H9">
        <v>0</v>
      </c>
      <c r="I9" cm="1">
        <f t="array" ref="I9">SUMPRODUCT((B9:F9&lt;30)*(30-B9:F9))</f>
        <v>3</v>
      </c>
      <c r="J9">
        <v>1</v>
      </c>
      <c r="K9">
        <v>30</v>
      </c>
      <c r="L9">
        <v>30</v>
      </c>
      <c r="M9">
        <v>26</v>
      </c>
      <c r="N9">
        <v>29</v>
      </c>
      <c r="O9">
        <v>26</v>
      </c>
      <c r="P9">
        <f t="shared" si="3"/>
        <v>141</v>
      </c>
      <c r="Q9">
        <v>1</v>
      </c>
      <c r="R9" cm="1">
        <f t="array" ref="R9">SUMPRODUCT((K9:O9&lt;30)*(30-K9:O9))</f>
        <v>9</v>
      </c>
      <c r="S9">
        <v>1</v>
      </c>
      <c r="T9">
        <v>30</v>
      </c>
      <c r="U9">
        <v>28</v>
      </c>
      <c r="V9">
        <v>19</v>
      </c>
      <c r="W9">
        <v>30</v>
      </c>
      <c r="X9">
        <v>30</v>
      </c>
      <c r="Y9">
        <f t="shared" si="4"/>
        <v>137</v>
      </c>
      <c r="Z9">
        <f t="shared" si="7"/>
        <v>0</v>
      </c>
      <c r="AA9" cm="1">
        <f t="array" ref="AA9">SUMPRODUCT((T9:X9&lt;30)*(30-T9:X9))</f>
        <v>13</v>
      </c>
      <c r="AC9">
        <v>1</v>
      </c>
      <c r="AD9">
        <v>1</v>
      </c>
      <c r="AE9">
        <v>0</v>
      </c>
      <c r="AF9">
        <v>0</v>
      </c>
      <c r="AG9">
        <v>9</v>
      </c>
      <c r="AH9">
        <v>0</v>
      </c>
      <c r="AI9">
        <f t="shared" si="0"/>
        <v>10</v>
      </c>
      <c r="AJ9">
        <v>1</v>
      </c>
      <c r="AK9">
        <f t="shared" si="1"/>
        <v>425</v>
      </c>
      <c r="AL9">
        <f t="shared" si="5"/>
        <v>11</v>
      </c>
      <c r="AM9">
        <f t="shared" si="6"/>
        <v>25</v>
      </c>
    </row>
    <row r="10" spans="1:39" x14ac:dyDescent="0.35">
      <c r="A10">
        <v>1.2</v>
      </c>
      <c r="B10">
        <v>5</v>
      </c>
      <c r="C10">
        <v>4</v>
      </c>
      <c r="D10">
        <v>5</v>
      </c>
      <c r="E10">
        <v>6</v>
      </c>
      <c r="F10">
        <v>6</v>
      </c>
      <c r="G10">
        <f t="shared" si="2"/>
        <v>26</v>
      </c>
      <c r="H10">
        <v>0</v>
      </c>
      <c r="J10">
        <v>1.2</v>
      </c>
      <c r="K10">
        <v>30</v>
      </c>
      <c r="L10">
        <v>30</v>
      </c>
      <c r="M10">
        <v>26</v>
      </c>
      <c r="N10">
        <v>29</v>
      </c>
      <c r="O10">
        <v>26</v>
      </c>
      <c r="P10">
        <f t="shared" si="3"/>
        <v>141</v>
      </c>
      <c r="Q10">
        <v>1</v>
      </c>
      <c r="R10" cm="1">
        <f t="array" ref="R10">SUMPRODUCT((K10:O10&lt;30)*(30-K10:O10))</f>
        <v>9</v>
      </c>
      <c r="S10">
        <v>1.2</v>
      </c>
      <c r="T10">
        <v>30</v>
      </c>
      <c r="U10">
        <v>28</v>
      </c>
      <c r="V10">
        <v>19</v>
      </c>
      <c r="W10">
        <v>30</v>
      </c>
      <c r="X10">
        <v>30</v>
      </c>
      <c r="Y10">
        <f t="shared" si="4"/>
        <v>137</v>
      </c>
      <c r="Z10">
        <f t="shared" si="7"/>
        <v>0</v>
      </c>
      <c r="AA10" cm="1">
        <f t="array" ref="AA10">SUMPRODUCT((T10:X10&lt;30)*(30-T10:X10))</f>
        <v>13</v>
      </c>
      <c r="AC10">
        <v>1.2</v>
      </c>
      <c r="AD10">
        <v>1</v>
      </c>
      <c r="AE10">
        <v>0</v>
      </c>
      <c r="AF10">
        <v>0</v>
      </c>
      <c r="AG10">
        <v>8</v>
      </c>
      <c r="AH10">
        <v>0</v>
      </c>
      <c r="AI10">
        <f t="shared" si="0"/>
        <v>9</v>
      </c>
      <c r="AJ10">
        <v>1.2</v>
      </c>
      <c r="AK10">
        <f t="shared" si="1"/>
        <v>304</v>
      </c>
      <c r="AL10">
        <f t="shared" si="5"/>
        <v>10</v>
      </c>
      <c r="AM10">
        <f t="shared" si="6"/>
        <v>146</v>
      </c>
    </row>
    <row r="11" spans="1:39" x14ac:dyDescent="0.35">
      <c r="A11">
        <v>1.4</v>
      </c>
      <c r="B11">
        <v>0</v>
      </c>
      <c r="C11">
        <v>0</v>
      </c>
      <c r="D11">
        <v>1</v>
      </c>
      <c r="E11">
        <v>0</v>
      </c>
      <c r="F11">
        <v>0</v>
      </c>
      <c r="G11">
        <f t="shared" si="2"/>
        <v>1</v>
      </c>
      <c r="H11">
        <v>0</v>
      </c>
      <c r="J11">
        <v>1.4</v>
      </c>
      <c r="K11">
        <v>30</v>
      </c>
      <c r="L11">
        <v>30</v>
      </c>
      <c r="M11">
        <v>26</v>
      </c>
      <c r="N11">
        <v>29</v>
      </c>
      <c r="O11">
        <v>26</v>
      </c>
      <c r="P11">
        <f t="shared" si="3"/>
        <v>141</v>
      </c>
      <c r="Q11">
        <v>1</v>
      </c>
      <c r="R11" cm="1">
        <f t="array" ref="R11">SUMPRODUCT((K11:O11&lt;30)*(30-K11:O11))</f>
        <v>9</v>
      </c>
      <c r="S11">
        <v>1.4</v>
      </c>
      <c r="T11">
        <v>30</v>
      </c>
      <c r="U11">
        <v>28</v>
      </c>
      <c r="V11">
        <v>19</v>
      </c>
      <c r="W11">
        <v>30</v>
      </c>
      <c r="X11">
        <v>30</v>
      </c>
      <c r="Y11">
        <f t="shared" si="4"/>
        <v>137</v>
      </c>
      <c r="Z11">
        <f t="shared" si="7"/>
        <v>0</v>
      </c>
      <c r="AA11" cm="1">
        <f t="array" ref="AA11">SUMPRODUCT((T11:X11&lt;30)*(30-T11:X11))</f>
        <v>13</v>
      </c>
      <c r="AC11">
        <v>1.4</v>
      </c>
      <c r="AD11">
        <v>1</v>
      </c>
      <c r="AE11">
        <v>0</v>
      </c>
      <c r="AF11">
        <v>0</v>
      </c>
      <c r="AG11">
        <v>7</v>
      </c>
      <c r="AH11">
        <v>0</v>
      </c>
      <c r="AI11">
        <f t="shared" si="0"/>
        <v>8</v>
      </c>
      <c r="AJ11">
        <v>1.4</v>
      </c>
      <c r="AK11">
        <f t="shared" si="1"/>
        <v>279</v>
      </c>
      <c r="AL11">
        <f t="shared" si="5"/>
        <v>9</v>
      </c>
      <c r="AM11">
        <f t="shared" si="6"/>
        <v>171</v>
      </c>
    </row>
    <row r="12" spans="1:39" x14ac:dyDescent="0.35">
      <c r="A12">
        <v>1.6</v>
      </c>
      <c r="B12">
        <v>0</v>
      </c>
      <c r="C12">
        <v>0</v>
      </c>
      <c r="D12">
        <v>1</v>
      </c>
      <c r="E12">
        <v>0</v>
      </c>
      <c r="F12">
        <v>0</v>
      </c>
      <c r="G12">
        <f t="shared" si="2"/>
        <v>1</v>
      </c>
      <c r="H12">
        <v>0</v>
      </c>
      <c r="J12">
        <v>1.6</v>
      </c>
      <c r="K12">
        <v>30</v>
      </c>
      <c r="L12">
        <v>30</v>
      </c>
      <c r="M12">
        <v>26</v>
      </c>
      <c r="N12">
        <v>29</v>
      </c>
      <c r="O12">
        <v>26</v>
      </c>
      <c r="P12">
        <f t="shared" si="3"/>
        <v>141</v>
      </c>
      <c r="Q12">
        <v>1</v>
      </c>
      <c r="R12" cm="1">
        <f t="array" ref="R12">SUMPRODUCT((K12:O12&lt;30)*(30-K12:O12))</f>
        <v>9</v>
      </c>
      <c r="S12">
        <v>1.6</v>
      </c>
      <c r="T12">
        <v>30</v>
      </c>
      <c r="U12">
        <v>28</v>
      </c>
      <c r="V12">
        <v>19</v>
      </c>
      <c r="W12">
        <v>30</v>
      </c>
      <c r="X12">
        <v>30</v>
      </c>
      <c r="Y12">
        <f t="shared" si="4"/>
        <v>137</v>
      </c>
      <c r="Z12">
        <f t="shared" si="7"/>
        <v>0</v>
      </c>
      <c r="AA12" cm="1">
        <f t="array" ref="AA12">SUMPRODUCT((T12:X12&lt;30)*(30-T12:X12))</f>
        <v>13</v>
      </c>
      <c r="AC12">
        <v>1.6</v>
      </c>
      <c r="AD12">
        <v>1</v>
      </c>
      <c r="AE12">
        <v>0</v>
      </c>
      <c r="AF12">
        <v>0</v>
      </c>
      <c r="AG12">
        <v>6</v>
      </c>
      <c r="AH12">
        <v>0</v>
      </c>
      <c r="AI12">
        <f t="shared" si="0"/>
        <v>7</v>
      </c>
      <c r="AJ12">
        <v>1.6</v>
      </c>
      <c r="AK12">
        <f t="shared" si="1"/>
        <v>279</v>
      </c>
      <c r="AL12">
        <f t="shared" si="5"/>
        <v>8</v>
      </c>
      <c r="AM12">
        <f t="shared" si="6"/>
        <v>171</v>
      </c>
    </row>
    <row r="13" spans="1:39" x14ac:dyDescent="0.35">
      <c r="A13">
        <v>1.8</v>
      </c>
      <c r="B13">
        <v>0</v>
      </c>
      <c r="C13">
        <v>0</v>
      </c>
      <c r="D13">
        <v>1</v>
      </c>
      <c r="E13">
        <v>0</v>
      </c>
      <c r="F13">
        <v>0</v>
      </c>
      <c r="G13">
        <f t="shared" si="2"/>
        <v>1</v>
      </c>
      <c r="H13">
        <v>0</v>
      </c>
      <c r="J13">
        <v>1.8</v>
      </c>
      <c r="K13">
        <v>30</v>
      </c>
      <c r="L13">
        <v>30</v>
      </c>
      <c r="M13">
        <v>26</v>
      </c>
      <c r="N13">
        <v>29</v>
      </c>
      <c r="O13">
        <v>26</v>
      </c>
      <c r="P13">
        <f t="shared" si="3"/>
        <v>141</v>
      </c>
      <c r="Q13">
        <v>1</v>
      </c>
      <c r="R13" cm="1">
        <f t="array" ref="R13">SUMPRODUCT((K13:O13&lt;30)*(30-K13:O13))</f>
        <v>9</v>
      </c>
      <c r="S13">
        <v>1.8</v>
      </c>
      <c r="T13">
        <v>30</v>
      </c>
      <c r="U13">
        <v>28</v>
      </c>
      <c r="V13">
        <v>19</v>
      </c>
      <c r="W13">
        <v>30</v>
      </c>
      <c r="X13">
        <v>30</v>
      </c>
      <c r="Y13">
        <f t="shared" si="4"/>
        <v>137</v>
      </c>
      <c r="Z13">
        <f t="shared" si="7"/>
        <v>0</v>
      </c>
      <c r="AA13" cm="1">
        <f t="array" ref="AA13">SUMPRODUCT((T13:X13&lt;30)*(30-T13:X13))</f>
        <v>13</v>
      </c>
      <c r="AC13">
        <v>1.8</v>
      </c>
      <c r="AD13">
        <v>1</v>
      </c>
      <c r="AE13">
        <v>0</v>
      </c>
      <c r="AF13">
        <v>0</v>
      </c>
      <c r="AG13">
        <v>6</v>
      </c>
      <c r="AH13">
        <v>0</v>
      </c>
      <c r="AI13">
        <f t="shared" si="0"/>
        <v>7</v>
      </c>
      <c r="AJ13">
        <v>1.8</v>
      </c>
      <c r="AK13">
        <f t="shared" si="1"/>
        <v>279</v>
      </c>
      <c r="AL13">
        <f t="shared" si="5"/>
        <v>8</v>
      </c>
      <c r="AM13">
        <f t="shared" si="6"/>
        <v>171</v>
      </c>
    </row>
    <row r="14" spans="1:39" x14ac:dyDescent="0.35">
      <c r="A14">
        <v>2</v>
      </c>
      <c r="B14">
        <v>0</v>
      </c>
      <c r="C14">
        <v>0</v>
      </c>
      <c r="D14">
        <v>1</v>
      </c>
      <c r="E14">
        <v>0</v>
      </c>
      <c r="F14">
        <v>0</v>
      </c>
      <c r="G14">
        <f t="shared" si="2"/>
        <v>1</v>
      </c>
      <c r="H14">
        <v>0</v>
      </c>
      <c r="J14">
        <v>2</v>
      </c>
      <c r="K14">
        <v>29</v>
      </c>
      <c r="L14">
        <v>30</v>
      </c>
      <c r="M14">
        <v>26</v>
      </c>
      <c r="N14">
        <v>29</v>
      </c>
      <c r="O14">
        <v>26</v>
      </c>
      <c r="P14">
        <f t="shared" si="3"/>
        <v>140</v>
      </c>
      <c r="Q14">
        <v>1</v>
      </c>
      <c r="R14" cm="1">
        <f t="array" ref="R14">SUMPRODUCT((K14:O14&lt;30)*(30-K14:O14))</f>
        <v>10</v>
      </c>
      <c r="S14">
        <v>2</v>
      </c>
      <c r="T14">
        <v>30</v>
      </c>
      <c r="U14">
        <v>28</v>
      </c>
      <c r="V14">
        <v>18</v>
      </c>
      <c r="W14">
        <v>30</v>
      </c>
      <c r="X14">
        <v>30</v>
      </c>
      <c r="Y14">
        <f t="shared" si="4"/>
        <v>136</v>
      </c>
      <c r="Z14">
        <f t="shared" si="7"/>
        <v>0</v>
      </c>
      <c r="AA14" cm="1">
        <f t="array" ref="AA14">SUMPRODUCT((T14:X14&lt;30)*(30-T14:X14))</f>
        <v>14</v>
      </c>
      <c r="AC14">
        <v>2</v>
      </c>
      <c r="AD14">
        <v>0</v>
      </c>
      <c r="AE14">
        <v>0</v>
      </c>
      <c r="AF14">
        <v>0</v>
      </c>
      <c r="AG14">
        <v>6</v>
      </c>
      <c r="AH14">
        <v>0</v>
      </c>
      <c r="AI14">
        <f t="shared" si="0"/>
        <v>6</v>
      </c>
      <c r="AJ14">
        <v>2</v>
      </c>
      <c r="AK14">
        <f t="shared" si="1"/>
        <v>277</v>
      </c>
      <c r="AL14">
        <f t="shared" si="5"/>
        <v>7</v>
      </c>
      <c r="AM14">
        <f t="shared" si="6"/>
        <v>173</v>
      </c>
    </row>
    <row r="15" spans="1:39" x14ac:dyDescent="0.35">
      <c r="A15">
        <v>2.2000000000000002</v>
      </c>
      <c r="B15">
        <v>0</v>
      </c>
      <c r="C15">
        <v>0</v>
      </c>
      <c r="D15">
        <v>1</v>
      </c>
      <c r="E15">
        <v>0</v>
      </c>
      <c r="F15">
        <v>0</v>
      </c>
      <c r="G15">
        <f t="shared" si="2"/>
        <v>1</v>
      </c>
      <c r="H15">
        <v>0</v>
      </c>
      <c r="J15">
        <v>2.2000000000000002</v>
      </c>
      <c r="K15">
        <v>14</v>
      </c>
      <c r="L15">
        <v>22</v>
      </c>
      <c r="M15">
        <v>10</v>
      </c>
      <c r="N15">
        <v>18</v>
      </c>
      <c r="O15">
        <v>11</v>
      </c>
      <c r="P15">
        <f t="shared" si="3"/>
        <v>75</v>
      </c>
      <c r="Q15">
        <v>1</v>
      </c>
      <c r="R15" cm="1">
        <f t="array" ref="R15">SUMPRODUCT((K15:O15&lt;30)*(30-K15:O15))</f>
        <v>75</v>
      </c>
      <c r="S15">
        <v>2.2000000000000002</v>
      </c>
      <c r="T15">
        <v>30</v>
      </c>
      <c r="U15">
        <v>28</v>
      </c>
      <c r="V15">
        <v>18</v>
      </c>
      <c r="W15">
        <v>30</v>
      </c>
      <c r="X15">
        <v>30</v>
      </c>
      <c r="Y15">
        <f t="shared" si="4"/>
        <v>136</v>
      </c>
      <c r="Z15">
        <f t="shared" si="7"/>
        <v>0</v>
      </c>
      <c r="AA15" cm="1">
        <f t="array" ref="AA15">SUMPRODUCT((T15:X15&lt;30)*(30-T15:X15))</f>
        <v>14</v>
      </c>
      <c r="AC15">
        <v>2.2000000000000002</v>
      </c>
      <c r="AD15">
        <v>0</v>
      </c>
      <c r="AE15">
        <v>0</v>
      </c>
      <c r="AF15">
        <v>0</v>
      </c>
      <c r="AG15">
        <v>5</v>
      </c>
      <c r="AH15">
        <v>0</v>
      </c>
      <c r="AI15">
        <f t="shared" si="0"/>
        <v>5</v>
      </c>
      <c r="AJ15">
        <v>2.2000000000000002</v>
      </c>
      <c r="AK15">
        <f t="shared" si="1"/>
        <v>212</v>
      </c>
      <c r="AL15">
        <f t="shared" si="5"/>
        <v>6</v>
      </c>
      <c r="AM15">
        <f t="shared" si="6"/>
        <v>238</v>
      </c>
    </row>
    <row r="16" spans="1:39" x14ac:dyDescent="0.35">
      <c r="A16">
        <v>2.4</v>
      </c>
      <c r="B16">
        <v>0</v>
      </c>
      <c r="C16">
        <v>0</v>
      </c>
      <c r="D16">
        <v>1</v>
      </c>
      <c r="E16">
        <v>0</v>
      </c>
      <c r="F16">
        <v>0</v>
      </c>
      <c r="G16">
        <f t="shared" si="2"/>
        <v>1</v>
      </c>
      <c r="H16">
        <v>0</v>
      </c>
      <c r="J16">
        <v>2.4</v>
      </c>
      <c r="K16">
        <v>0</v>
      </c>
      <c r="L16">
        <v>0</v>
      </c>
      <c r="M16">
        <v>0</v>
      </c>
      <c r="N16">
        <v>0</v>
      </c>
      <c r="O16">
        <v>0</v>
      </c>
      <c r="P16">
        <f t="shared" si="3"/>
        <v>0</v>
      </c>
      <c r="Q16">
        <v>1</v>
      </c>
      <c r="S16">
        <v>2.4</v>
      </c>
      <c r="T16">
        <v>30</v>
      </c>
      <c r="U16">
        <v>28</v>
      </c>
      <c r="V16">
        <v>18</v>
      </c>
      <c r="W16">
        <v>30</v>
      </c>
      <c r="X16">
        <v>30</v>
      </c>
      <c r="Y16">
        <f t="shared" si="4"/>
        <v>136</v>
      </c>
      <c r="Z16">
        <f t="shared" si="7"/>
        <v>0</v>
      </c>
      <c r="AA16" cm="1">
        <f t="array" ref="AA16">SUMPRODUCT((T16:X16&lt;30)*(30-T16:X16))</f>
        <v>14</v>
      </c>
      <c r="AC16">
        <v>2.4</v>
      </c>
      <c r="AD16">
        <v>0</v>
      </c>
      <c r="AE16">
        <v>0</v>
      </c>
      <c r="AF16">
        <v>0</v>
      </c>
      <c r="AG16">
        <v>5</v>
      </c>
      <c r="AH16">
        <v>0</v>
      </c>
      <c r="AI16">
        <f t="shared" si="0"/>
        <v>5</v>
      </c>
      <c r="AJ16">
        <v>2.4</v>
      </c>
      <c r="AK16">
        <f t="shared" si="1"/>
        <v>137</v>
      </c>
      <c r="AL16">
        <f t="shared" si="5"/>
        <v>6</v>
      </c>
      <c r="AM16">
        <f t="shared" si="6"/>
        <v>313</v>
      </c>
    </row>
    <row r="17" spans="1:39" x14ac:dyDescent="0.35">
      <c r="A17">
        <v>2.6</v>
      </c>
      <c r="B17">
        <v>0</v>
      </c>
      <c r="C17">
        <v>0</v>
      </c>
      <c r="D17">
        <v>1</v>
      </c>
      <c r="E17">
        <v>0</v>
      </c>
      <c r="F17">
        <v>0</v>
      </c>
      <c r="G17">
        <f t="shared" si="2"/>
        <v>1</v>
      </c>
      <c r="H17">
        <v>0</v>
      </c>
      <c r="J17">
        <v>2.6</v>
      </c>
      <c r="K17">
        <v>0</v>
      </c>
      <c r="L17">
        <v>0</v>
      </c>
      <c r="M17">
        <v>0</v>
      </c>
      <c r="N17">
        <v>0</v>
      </c>
      <c r="O17">
        <v>0</v>
      </c>
      <c r="P17">
        <f t="shared" ref="P17:P21" si="8">SUM(MIN(K17,30),MIN(L17,30),MIN(M17,30),MIN(N17,30), MIN(O17,30))</f>
        <v>0</v>
      </c>
      <c r="Q17">
        <v>1</v>
      </c>
      <c r="S17">
        <v>2.6</v>
      </c>
      <c r="T17">
        <v>30</v>
      </c>
      <c r="U17">
        <v>28</v>
      </c>
      <c r="V17">
        <v>17</v>
      </c>
      <c r="W17">
        <v>30</v>
      </c>
      <c r="X17">
        <v>30</v>
      </c>
      <c r="Y17">
        <f t="shared" si="4"/>
        <v>135</v>
      </c>
      <c r="Z17">
        <f t="shared" si="7"/>
        <v>0</v>
      </c>
      <c r="AA17" cm="1">
        <f t="array" ref="AA17">SUMPRODUCT((T17:X17&lt;30)*(30-T17:X17))</f>
        <v>15</v>
      </c>
      <c r="AC17">
        <v>2.6</v>
      </c>
      <c r="AD17">
        <v>0</v>
      </c>
      <c r="AE17">
        <v>0</v>
      </c>
      <c r="AF17">
        <v>0</v>
      </c>
      <c r="AG17">
        <v>5</v>
      </c>
      <c r="AH17">
        <v>0</v>
      </c>
      <c r="AI17">
        <f t="shared" si="0"/>
        <v>5</v>
      </c>
      <c r="AJ17">
        <v>2.6</v>
      </c>
      <c r="AK17">
        <f t="shared" si="1"/>
        <v>136</v>
      </c>
      <c r="AL17">
        <f t="shared" si="5"/>
        <v>6</v>
      </c>
      <c r="AM17">
        <f t="shared" si="6"/>
        <v>314</v>
      </c>
    </row>
    <row r="18" spans="1:39" x14ac:dyDescent="0.35">
      <c r="A18">
        <v>2.8</v>
      </c>
      <c r="B18">
        <v>0</v>
      </c>
      <c r="C18">
        <v>0</v>
      </c>
      <c r="D18">
        <v>1</v>
      </c>
      <c r="E18">
        <v>0</v>
      </c>
      <c r="F18">
        <v>0</v>
      </c>
      <c r="G18">
        <f t="shared" si="2"/>
        <v>1</v>
      </c>
      <c r="H18">
        <v>0</v>
      </c>
      <c r="J18">
        <v>2.8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8"/>
        <v>0</v>
      </c>
      <c r="Q18">
        <v>1</v>
      </c>
      <c r="S18">
        <v>2.8</v>
      </c>
      <c r="T18">
        <v>30</v>
      </c>
      <c r="U18">
        <v>28</v>
      </c>
      <c r="V18">
        <v>17</v>
      </c>
      <c r="W18">
        <v>30</v>
      </c>
      <c r="X18">
        <v>30</v>
      </c>
      <c r="Y18">
        <f t="shared" si="4"/>
        <v>135</v>
      </c>
      <c r="Z18">
        <f t="shared" si="7"/>
        <v>0</v>
      </c>
      <c r="AA18" cm="1">
        <f t="array" ref="AA18">SUMPRODUCT((T18:X18&lt;30)*(30-T18:X18))</f>
        <v>15</v>
      </c>
      <c r="AC18">
        <v>2.8</v>
      </c>
      <c r="AD18">
        <v>0</v>
      </c>
      <c r="AE18">
        <v>0</v>
      </c>
      <c r="AF18">
        <v>0</v>
      </c>
      <c r="AG18">
        <v>5</v>
      </c>
      <c r="AH18">
        <v>0</v>
      </c>
      <c r="AI18">
        <f t="shared" si="0"/>
        <v>5</v>
      </c>
      <c r="AJ18">
        <v>2.8</v>
      </c>
      <c r="AK18">
        <f t="shared" si="1"/>
        <v>136</v>
      </c>
      <c r="AL18">
        <f t="shared" si="5"/>
        <v>6</v>
      </c>
      <c r="AM18">
        <f t="shared" si="6"/>
        <v>314</v>
      </c>
    </row>
    <row r="19" spans="1:39" x14ac:dyDescent="0.35">
      <c r="A19">
        <v>3</v>
      </c>
      <c r="B19">
        <v>0</v>
      </c>
      <c r="C19">
        <v>0</v>
      </c>
      <c r="D19">
        <v>1</v>
      </c>
      <c r="E19">
        <v>0</v>
      </c>
      <c r="F19">
        <v>0</v>
      </c>
      <c r="G19">
        <f t="shared" si="2"/>
        <v>1</v>
      </c>
      <c r="H19">
        <v>0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8"/>
        <v>0</v>
      </c>
      <c r="Q19">
        <v>1</v>
      </c>
      <c r="S19">
        <v>3</v>
      </c>
      <c r="T19">
        <v>30</v>
      </c>
      <c r="U19">
        <v>28</v>
      </c>
      <c r="V19">
        <v>16</v>
      </c>
      <c r="W19">
        <v>30</v>
      </c>
      <c r="X19">
        <v>30</v>
      </c>
      <c r="Y19">
        <f t="shared" si="4"/>
        <v>134</v>
      </c>
      <c r="Z19">
        <f t="shared" si="7"/>
        <v>0</v>
      </c>
      <c r="AA19" cm="1">
        <f t="array" ref="AA19">SUMPRODUCT((T19:X19&lt;30)*(30-T19:X19))</f>
        <v>16</v>
      </c>
      <c r="AC19">
        <v>3</v>
      </c>
      <c r="AD19">
        <v>0</v>
      </c>
      <c r="AE19">
        <v>0</v>
      </c>
      <c r="AF19">
        <v>0</v>
      </c>
      <c r="AG19">
        <v>4</v>
      </c>
      <c r="AH19">
        <v>0</v>
      </c>
      <c r="AI19">
        <f t="shared" si="0"/>
        <v>4</v>
      </c>
      <c r="AJ19">
        <v>3</v>
      </c>
      <c r="AK19">
        <f t="shared" si="1"/>
        <v>135</v>
      </c>
      <c r="AL19">
        <f t="shared" si="5"/>
        <v>5</v>
      </c>
      <c r="AM19">
        <f t="shared" si="6"/>
        <v>315</v>
      </c>
    </row>
    <row r="20" spans="1:39" x14ac:dyDescent="0.35">
      <c r="A20">
        <v>3.2</v>
      </c>
      <c r="B20">
        <v>0</v>
      </c>
      <c r="C20">
        <v>0</v>
      </c>
      <c r="D20">
        <v>1</v>
      </c>
      <c r="E20">
        <v>0</v>
      </c>
      <c r="F20">
        <v>0</v>
      </c>
      <c r="G20">
        <f t="shared" si="2"/>
        <v>1</v>
      </c>
      <c r="H20">
        <v>0</v>
      </c>
      <c r="J20">
        <v>3.2</v>
      </c>
      <c r="K20">
        <v>0</v>
      </c>
      <c r="L20">
        <v>0</v>
      </c>
      <c r="M20">
        <v>0</v>
      </c>
      <c r="N20">
        <v>0</v>
      </c>
      <c r="O20">
        <v>0</v>
      </c>
      <c r="P20">
        <f t="shared" si="8"/>
        <v>0</v>
      </c>
      <c r="Q20">
        <v>1</v>
      </c>
      <c r="S20">
        <v>3.2</v>
      </c>
      <c r="T20">
        <v>29</v>
      </c>
      <c r="U20">
        <v>26</v>
      </c>
      <c r="V20">
        <v>15</v>
      </c>
      <c r="W20">
        <v>30</v>
      </c>
      <c r="X20">
        <v>30</v>
      </c>
      <c r="Y20">
        <f t="shared" si="4"/>
        <v>130</v>
      </c>
      <c r="Z20">
        <f t="shared" si="7"/>
        <v>0</v>
      </c>
      <c r="AC20">
        <v>3.2</v>
      </c>
      <c r="AD20">
        <v>0</v>
      </c>
      <c r="AE20">
        <v>0</v>
      </c>
      <c r="AF20">
        <v>0</v>
      </c>
      <c r="AG20">
        <v>3</v>
      </c>
      <c r="AH20">
        <v>0</v>
      </c>
      <c r="AI20">
        <f t="shared" si="0"/>
        <v>3</v>
      </c>
      <c r="AJ20">
        <v>3.2</v>
      </c>
      <c r="AK20">
        <f t="shared" si="1"/>
        <v>131</v>
      </c>
      <c r="AL20">
        <f t="shared" si="5"/>
        <v>4</v>
      </c>
      <c r="AM20">
        <f t="shared" si="6"/>
        <v>319</v>
      </c>
    </row>
    <row r="21" spans="1:39" x14ac:dyDescent="0.35">
      <c r="A21">
        <v>3.4</v>
      </c>
      <c r="B21">
        <v>0</v>
      </c>
      <c r="C21">
        <v>0</v>
      </c>
      <c r="D21">
        <v>1</v>
      </c>
      <c r="E21">
        <v>0</v>
      </c>
      <c r="F21">
        <v>0</v>
      </c>
      <c r="G21">
        <f t="shared" si="2"/>
        <v>1</v>
      </c>
      <c r="H21">
        <v>0</v>
      </c>
      <c r="J21">
        <v>3.4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8"/>
        <v>0</v>
      </c>
      <c r="Q21">
        <v>1</v>
      </c>
      <c r="S21">
        <v>3.4</v>
      </c>
      <c r="T21">
        <v>0</v>
      </c>
      <c r="U21">
        <v>0</v>
      </c>
      <c r="V21">
        <v>0</v>
      </c>
      <c r="W21">
        <v>0</v>
      </c>
      <c r="X21">
        <v>0</v>
      </c>
      <c r="Y21">
        <f t="shared" si="4"/>
        <v>0</v>
      </c>
      <c r="Z21">
        <f t="shared" si="7"/>
        <v>0</v>
      </c>
      <c r="AC21">
        <v>3.4</v>
      </c>
      <c r="AD21">
        <v>0</v>
      </c>
      <c r="AE21">
        <v>0</v>
      </c>
      <c r="AF21">
        <v>0</v>
      </c>
      <c r="AG21">
        <v>2</v>
      </c>
      <c r="AH21">
        <v>0</v>
      </c>
      <c r="AI21">
        <f t="shared" si="0"/>
        <v>2</v>
      </c>
      <c r="AJ21">
        <v>3.4</v>
      </c>
      <c r="AK21">
        <f t="shared" si="1"/>
        <v>1</v>
      </c>
      <c r="AL21">
        <f t="shared" si="5"/>
        <v>3</v>
      </c>
      <c r="AM21">
        <f t="shared" si="6"/>
        <v>449</v>
      </c>
    </row>
    <row r="22" spans="1:39" x14ac:dyDescent="0.35">
      <c r="A22">
        <v>3.6</v>
      </c>
      <c r="B22">
        <v>0</v>
      </c>
      <c r="C22">
        <v>0</v>
      </c>
      <c r="D22">
        <v>1</v>
      </c>
      <c r="E22">
        <v>0</v>
      </c>
      <c r="F22">
        <v>0</v>
      </c>
      <c r="G22">
        <f t="shared" si="2"/>
        <v>1</v>
      </c>
      <c r="H22">
        <v>0</v>
      </c>
      <c r="J22">
        <v>3.6</v>
      </c>
      <c r="K22">
        <v>0</v>
      </c>
      <c r="L22">
        <v>0</v>
      </c>
      <c r="M22">
        <v>0</v>
      </c>
      <c r="N22">
        <v>0</v>
      </c>
      <c r="O22">
        <v>0</v>
      </c>
      <c r="P22">
        <f t="shared" ref="P22" si="9">SUM(MIN(K22,30),MIN(L22,30),MIN(M22,30),MIN(N22,30), MIN(O22,30))</f>
        <v>0</v>
      </c>
      <c r="Q22">
        <v>1</v>
      </c>
      <c r="S22">
        <v>3.6</v>
      </c>
      <c r="T22">
        <v>0</v>
      </c>
      <c r="U22">
        <v>0</v>
      </c>
      <c r="V22">
        <v>0</v>
      </c>
      <c r="W22">
        <v>0</v>
      </c>
      <c r="X22">
        <v>0</v>
      </c>
      <c r="Y22">
        <f t="shared" ref="Y22" si="10">SUM(MIN(T22,30),MIN(U22,30),MIN(V22,30),MIN(W22,30), MIN(X22,30))</f>
        <v>0</v>
      </c>
      <c r="Z22">
        <f t="shared" ref="Z22" si="11">SUM(MAX(T22-30,0),MAX(U22-30,0),MAX(V22-30,0),MAX(W22-30,0),MAX(X22-30,0))</f>
        <v>0</v>
      </c>
      <c r="AC22">
        <v>3.6</v>
      </c>
      <c r="AD22">
        <v>0</v>
      </c>
      <c r="AE22">
        <v>0</v>
      </c>
      <c r="AF22">
        <v>0</v>
      </c>
      <c r="AG22">
        <v>1</v>
      </c>
      <c r="AH22">
        <v>0</v>
      </c>
      <c r="AI22">
        <f t="shared" si="0"/>
        <v>1</v>
      </c>
      <c r="AJ22">
        <v>3.6</v>
      </c>
      <c r="AK22">
        <f t="shared" si="1"/>
        <v>1</v>
      </c>
      <c r="AL22">
        <f t="shared" si="5"/>
        <v>2</v>
      </c>
      <c r="AM22">
        <f t="shared" si="6"/>
        <v>449</v>
      </c>
    </row>
    <row r="23" spans="1:39" x14ac:dyDescent="0.35">
      <c r="A23">
        <v>3.8</v>
      </c>
      <c r="B23">
        <v>0</v>
      </c>
      <c r="C23">
        <v>0</v>
      </c>
      <c r="D23">
        <v>1</v>
      </c>
      <c r="E23">
        <v>0</v>
      </c>
      <c r="F23">
        <v>0</v>
      </c>
      <c r="G23">
        <f t="shared" si="2"/>
        <v>1</v>
      </c>
      <c r="H23">
        <v>0</v>
      </c>
      <c r="AC23">
        <v>3.8</v>
      </c>
      <c r="AD23">
        <v>0</v>
      </c>
      <c r="AE23">
        <v>0</v>
      </c>
      <c r="AF23">
        <v>0</v>
      </c>
      <c r="AG23">
        <v>1</v>
      </c>
      <c r="AH23">
        <v>0</v>
      </c>
      <c r="AI23">
        <f t="shared" si="0"/>
        <v>1</v>
      </c>
      <c r="AJ23">
        <v>3.8</v>
      </c>
      <c r="AK23">
        <f t="shared" si="1"/>
        <v>1</v>
      </c>
      <c r="AL23">
        <f t="shared" si="5"/>
        <v>1</v>
      </c>
      <c r="AM23">
        <f t="shared" si="6"/>
        <v>449</v>
      </c>
    </row>
    <row r="24" spans="1:39" x14ac:dyDescent="0.35">
      <c r="A24">
        <v>4</v>
      </c>
      <c r="B24">
        <v>0</v>
      </c>
      <c r="C24">
        <v>0</v>
      </c>
      <c r="D24">
        <v>1</v>
      </c>
      <c r="E24">
        <v>0</v>
      </c>
      <c r="F24">
        <v>0</v>
      </c>
      <c r="G24">
        <f t="shared" si="2"/>
        <v>1</v>
      </c>
      <c r="H24">
        <v>0</v>
      </c>
      <c r="AC24">
        <v>4</v>
      </c>
      <c r="AD24">
        <v>0</v>
      </c>
      <c r="AE24">
        <v>0</v>
      </c>
      <c r="AF24">
        <v>0</v>
      </c>
      <c r="AG24">
        <v>1</v>
      </c>
      <c r="AH24">
        <v>0</v>
      </c>
      <c r="AI24">
        <f t="shared" si="0"/>
        <v>1</v>
      </c>
      <c r="AJ24">
        <v>4</v>
      </c>
      <c r="AK24">
        <f t="shared" si="1"/>
        <v>1</v>
      </c>
      <c r="AL24">
        <f t="shared" si="5"/>
        <v>1</v>
      </c>
      <c r="AM24">
        <f t="shared" si="6"/>
        <v>449</v>
      </c>
    </row>
    <row r="25" spans="1:39" x14ac:dyDescent="0.35">
      <c r="A25">
        <v>4.2</v>
      </c>
      <c r="B25">
        <v>0</v>
      </c>
      <c r="C25">
        <v>0</v>
      </c>
      <c r="D25">
        <v>1</v>
      </c>
      <c r="E25">
        <v>0</v>
      </c>
      <c r="F25">
        <v>0</v>
      </c>
      <c r="G25">
        <f t="shared" si="2"/>
        <v>1</v>
      </c>
      <c r="H25">
        <v>0</v>
      </c>
      <c r="AC25">
        <v>4.2</v>
      </c>
      <c r="AD25">
        <v>0</v>
      </c>
      <c r="AE25">
        <v>0</v>
      </c>
      <c r="AF25">
        <v>0</v>
      </c>
      <c r="AG25">
        <v>1</v>
      </c>
      <c r="AH25">
        <v>0</v>
      </c>
      <c r="AI25">
        <f t="shared" si="0"/>
        <v>1</v>
      </c>
      <c r="AJ25">
        <v>4.2</v>
      </c>
      <c r="AK25">
        <f t="shared" si="1"/>
        <v>1</v>
      </c>
      <c r="AL25">
        <f t="shared" si="5"/>
        <v>1</v>
      </c>
      <c r="AM25">
        <f t="shared" si="6"/>
        <v>449</v>
      </c>
    </row>
    <row r="26" spans="1:39" x14ac:dyDescent="0.35">
      <c r="A26">
        <v>4.4000000000000004</v>
      </c>
      <c r="B26">
        <v>0</v>
      </c>
      <c r="C26">
        <v>0</v>
      </c>
      <c r="D26">
        <v>1</v>
      </c>
      <c r="E26">
        <v>0</v>
      </c>
      <c r="F26">
        <v>0</v>
      </c>
      <c r="G26">
        <f t="shared" si="2"/>
        <v>1</v>
      </c>
      <c r="H26">
        <v>0</v>
      </c>
      <c r="AC26">
        <v>4.4000000000000004</v>
      </c>
      <c r="AD26">
        <v>0</v>
      </c>
      <c r="AE26">
        <v>0</v>
      </c>
      <c r="AF26">
        <v>0</v>
      </c>
      <c r="AG26">
        <v>1</v>
      </c>
      <c r="AH26">
        <v>0</v>
      </c>
      <c r="AI26">
        <f t="shared" si="0"/>
        <v>1</v>
      </c>
      <c r="AJ26">
        <v>4.4000000000000004</v>
      </c>
      <c r="AK26">
        <f t="shared" si="1"/>
        <v>1</v>
      </c>
      <c r="AL26">
        <f t="shared" si="5"/>
        <v>1</v>
      </c>
      <c r="AM26">
        <f t="shared" si="6"/>
        <v>449</v>
      </c>
    </row>
    <row r="27" spans="1:39" x14ac:dyDescent="0.35">
      <c r="A27">
        <v>4.5999999999999996</v>
      </c>
      <c r="B27">
        <v>0</v>
      </c>
      <c r="C27">
        <v>0</v>
      </c>
      <c r="D27">
        <v>1</v>
      </c>
      <c r="E27">
        <v>0</v>
      </c>
      <c r="F27">
        <v>0</v>
      </c>
      <c r="G27">
        <f t="shared" si="2"/>
        <v>1</v>
      </c>
      <c r="H27">
        <v>0</v>
      </c>
      <c r="AC27">
        <v>4.5999999999999996</v>
      </c>
      <c r="AD27">
        <v>0</v>
      </c>
      <c r="AE27">
        <v>0</v>
      </c>
      <c r="AF27">
        <v>0</v>
      </c>
      <c r="AG27">
        <v>1</v>
      </c>
      <c r="AH27">
        <v>0</v>
      </c>
      <c r="AI27">
        <f t="shared" si="0"/>
        <v>1</v>
      </c>
      <c r="AJ27">
        <v>4.5999999999999996</v>
      </c>
      <c r="AK27">
        <f t="shared" si="1"/>
        <v>1</v>
      </c>
      <c r="AL27">
        <f t="shared" si="5"/>
        <v>1</v>
      </c>
      <c r="AM27">
        <f t="shared" si="6"/>
        <v>449</v>
      </c>
    </row>
    <row r="28" spans="1:39" x14ac:dyDescent="0.35">
      <c r="A28">
        <v>4.8</v>
      </c>
      <c r="B28">
        <v>0</v>
      </c>
      <c r="C28">
        <v>0</v>
      </c>
      <c r="D28">
        <v>1</v>
      </c>
      <c r="E28">
        <v>0</v>
      </c>
      <c r="F28">
        <v>0</v>
      </c>
      <c r="G28">
        <f t="shared" si="2"/>
        <v>1</v>
      </c>
      <c r="H28">
        <v>0</v>
      </c>
      <c r="AC28">
        <v>4.8</v>
      </c>
      <c r="AD28">
        <v>0</v>
      </c>
      <c r="AE28">
        <v>0</v>
      </c>
      <c r="AF28">
        <v>0</v>
      </c>
      <c r="AG28">
        <v>1</v>
      </c>
      <c r="AH28">
        <v>0</v>
      </c>
      <c r="AI28">
        <f t="shared" si="0"/>
        <v>1</v>
      </c>
      <c r="AJ28">
        <v>4.8</v>
      </c>
      <c r="AK28">
        <f t="shared" si="1"/>
        <v>1</v>
      </c>
      <c r="AL28">
        <f t="shared" si="5"/>
        <v>1</v>
      </c>
      <c r="AM28">
        <f t="shared" si="6"/>
        <v>449</v>
      </c>
    </row>
    <row r="29" spans="1:39" x14ac:dyDescent="0.35">
      <c r="A29">
        <v>5</v>
      </c>
      <c r="B29">
        <v>0</v>
      </c>
      <c r="C29">
        <v>0</v>
      </c>
      <c r="D29">
        <v>1</v>
      </c>
      <c r="E29">
        <v>0</v>
      </c>
      <c r="F29">
        <v>0</v>
      </c>
      <c r="G29">
        <f t="shared" si="2"/>
        <v>1</v>
      </c>
      <c r="H29">
        <v>0</v>
      </c>
      <c r="AC29">
        <v>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f t="shared" si="0"/>
        <v>0</v>
      </c>
      <c r="AJ29">
        <v>5</v>
      </c>
      <c r="AK29">
        <f t="shared" si="1"/>
        <v>1</v>
      </c>
      <c r="AL29">
        <f t="shared" si="5"/>
        <v>0</v>
      </c>
      <c r="AM29">
        <f t="shared" si="6"/>
        <v>449</v>
      </c>
    </row>
    <row r="30" spans="1:39" x14ac:dyDescent="0.35">
      <c r="A30">
        <v>5.2</v>
      </c>
      <c r="B30">
        <v>0</v>
      </c>
      <c r="C30">
        <v>0</v>
      </c>
      <c r="D30">
        <v>1</v>
      </c>
      <c r="E30">
        <v>0</v>
      </c>
      <c r="F30">
        <v>0</v>
      </c>
      <c r="G30">
        <f t="shared" si="2"/>
        <v>1</v>
      </c>
      <c r="H30">
        <v>0</v>
      </c>
      <c r="AJ30">
        <v>5.2</v>
      </c>
      <c r="AK30">
        <f t="shared" si="1"/>
        <v>1</v>
      </c>
      <c r="AL30">
        <f t="shared" si="5"/>
        <v>0</v>
      </c>
      <c r="AM30">
        <f t="shared" si="6"/>
        <v>449</v>
      </c>
    </row>
    <row r="31" spans="1:39" x14ac:dyDescent="0.35">
      <c r="A31">
        <v>5.4</v>
      </c>
      <c r="B31">
        <v>0</v>
      </c>
      <c r="C31">
        <v>0</v>
      </c>
      <c r="D31">
        <v>1</v>
      </c>
      <c r="E31">
        <v>0</v>
      </c>
      <c r="F31">
        <v>0</v>
      </c>
      <c r="G31">
        <f t="shared" si="2"/>
        <v>1</v>
      </c>
      <c r="H31">
        <v>0</v>
      </c>
      <c r="AJ31">
        <v>5.4</v>
      </c>
      <c r="AK31">
        <f t="shared" si="1"/>
        <v>1</v>
      </c>
      <c r="AL31">
        <f t="shared" si="5"/>
        <v>0</v>
      </c>
      <c r="AM31">
        <f t="shared" si="6"/>
        <v>449</v>
      </c>
    </row>
    <row r="32" spans="1:39" x14ac:dyDescent="0.35">
      <c r="A32">
        <v>5.6</v>
      </c>
      <c r="B32">
        <v>0</v>
      </c>
      <c r="C32">
        <v>0</v>
      </c>
      <c r="D32">
        <v>1</v>
      </c>
      <c r="E32">
        <v>0</v>
      </c>
      <c r="F32">
        <v>0</v>
      </c>
      <c r="G32">
        <f t="shared" si="2"/>
        <v>1</v>
      </c>
      <c r="H32">
        <v>0</v>
      </c>
      <c r="AJ32">
        <v>5.6</v>
      </c>
      <c r="AK32">
        <f t="shared" si="1"/>
        <v>1</v>
      </c>
      <c r="AL32">
        <f t="shared" si="5"/>
        <v>0</v>
      </c>
      <c r="AM32">
        <f t="shared" si="6"/>
        <v>449</v>
      </c>
    </row>
    <row r="33" spans="1:39" x14ac:dyDescent="0.35">
      <c r="A33">
        <v>5.8</v>
      </c>
      <c r="B33">
        <v>0</v>
      </c>
      <c r="C33">
        <v>0</v>
      </c>
      <c r="D33">
        <v>1</v>
      </c>
      <c r="E33">
        <v>0</v>
      </c>
      <c r="F33">
        <v>0</v>
      </c>
      <c r="G33">
        <f t="shared" si="2"/>
        <v>1</v>
      </c>
      <c r="H33">
        <v>0</v>
      </c>
      <c r="AJ33">
        <v>5.8</v>
      </c>
      <c r="AK33">
        <f t="shared" si="1"/>
        <v>1</v>
      </c>
      <c r="AL33">
        <f t="shared" si="5"/>
        <v>0</v>
      </c>
      <c r="AM33">
        <f t="shared" si="6"/>
        <v>449</v>
      </c>
    </row>
    <row r="34" spans="1:39" x14ac:dyDescent="0.35">
      <c r="A34">
        <v>6</v>
      </c>
      <c r="B34">
        <v>0</v>
      </c>
      <c r="C34">
        <v>0</v>
      </c>
      <c r="D34">
        <v>1</v>
      </c>
      <c r="E34">
        <v>0</v>
      </c>
      <c r="F34">
        <v>0</v>
      </c>
      <c r="G34">
        <f t="shared" si="2"/>
        <v>1</v>
      </c>
      <c r="H34">
        <v>0</v>
      </c>
      <c r="AJ34">
        <v>6</v>
      </c>
      <c r="AK34">
        <f t="shared" si="1"/>
        <v>1</v>
      </c>
      <c r="AL34">
        <f t="shared" si="5"/>
        <v>0</v>
      </c>
      <c r="AM34">
        <f t="shared" si="6"/>
        <v>449</v>
      </c>
    </row>
    <row r="35" spans="1:39" x14ac:dyDescent="0.35">
      <c r="A35">
        <v>6.2</v>
      </c>
      <c r="B35">
        <v>0</v>
      </c>
      <c r="C35">
        <v>0</v>
      </c>
      <c r="D35">
        <v>1</v>
      </c>
      <c r="E35">
        <v>0</v>
      </c>
      <c r="F35">
        <v>0</v>
      </c>
      <c r="G35">
        <f t="shared" si="2"/>
        <v>1</v>
      </c>
      <c r="H35">
        <v>0</v>
      </c>
      <c r="AJ35">
        <v>6.2</v>
      </c>
      <c r="AK35">
        <f t="shared" si="1"/>
        <v>1</v>
      </c>
      <c r="AL35">
        <f t="shared" si="5"/>
        <v>0</v>
      </c>
      <c r="AM35">
        <f t="shared" si="6"/>
        <v>449</v>
      </c>
    </row>
    <row r="36" spans="1:39" x14ac:dyDescent="0.35">
      <c r="A36">
        <v>6.4</v>
      </c>
      <c r="B36">
        <v>0</v>
      </c>
      <c r="C36">
        <v>0</v>
      </c>
      <c r="D36">
        <v>1</v>
      </c>
      <c r="E36">
        <v>0</v>
      </c>
      <c r="F36">
        <v>0</v>
      </c>
      <c r="G36">
        <f t="shared" si="2"/>
        <v>1</v>
      </c>
      <c r="H36">
        <v>0</v>
      </c>
      <c r="AJ36">
        <v>6.4</v>
      </c>
      <c r="AK36">
        <f t="shared" si="1"/>
        <v>1</v>
      </c>
      <c r="AL36">
        <f t="shared" si="5"/>
        <v>0</v>
      </c>
      <c r="AM36">
        <f t="shared" si="6"/>
        <v>449</v>
      </c>
    </row>
    <row r="37" spans="1:39" x14ac:dyDescent="0.35">
      <c r="A37">
        <v>6.6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AJ37">
        <v>6.6</v>
      </c>
      <c r="AK37">
        <f t="shared" si="1"/>
        <v>0</v>
      </c>
      <c r="AL37">
        <f t="shared" si="5"/>
        <v>0</v>
      </c>
      <c r="AM37">
        <f t="shared" si="6"/>
        <v>450</v>
      </c>
    </row>
    <row r="39" spans="1:39" x14ac:dyDescent="0.35">
      <c r="A39" s="2" t="s">
        <v>16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35">
      <c r="A40" s="3" t="s">
        <v>1</v>
      </c>
      <c r="B40" s="3"/>
      <c r="C40" s="3"/>
      <c r="D40" s="3"/>
      <c r="E40" s="3"/>
      <c r="F40" s="3"/>
      <c r="G40" s="3"/>
      <c r="H40" s="3"/>
      <c r="J40" s="3" t="s">
        <v>2</v>
      </c>
      <c r="K40" s="3"/>
      <c r="L40" s="3"/>
      <c r="M40" s="3"/>
      <c r="N40" s="3"/>
      <c r="O40" s="3"/>
      <c r="P40" s="3"/>
      <c r="Q40" s="3"/>
      <c r="S40" s="3" t="s">
        <v>3</v>
      </c>
      <c r="T40" s="3"/>
      <c r="U40" s="3"/>
      <c r="V40" s="3"/>
      <c r="W40" s="3"/>
      <c r="X40" s="3"/>
      <c r="Y40" s="3"/>
      <c r="Z40" s="3"/>
      <c r="AC40" s="3" t="s">
        <v>4</v>
      </c>
      <c r="AD40" s="3"/>
      <c r="AE40" s="3"/>
      <c r="AF40" s="3"/>
      <c r="AG40" s="3"/>
      <c r="AH40" s="3"/>
      <c r="AI40" s="3"/>
      <c r="AJ40" s="3" t="s">
        <v>5</v>
      </c>
      <c r="AK40" s="3"/>
      <c r="AL40" s="3"/>
      <c r="AM40" s="3"/>
    </row>
    <row r="41" spans="1:39" x14ac:dyDescent="0.35">
      <c r="A41" s="1" t="s">
        <v>6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  <c r="G41" s="1" t="s">
        <v>12</v>
      </c>
      <c r="H41" s="1" t="s">
        <v>13</v>
      </c>
      <c r="I41" s="1" t="s">
        <v>14</v>
      </c>
      <c r="J41" s="1" t="s">
        <v>6</v>
      </c>
      <c r="K41" t="s">
        <v>7</v>
      </c>
      <c r="L41" t="s">
        <v>8</v>
      </c>
      <c r="M41" t="s">
        <v>9</v>
      </c>
      <c r="N41" t="s">
        <v>10</v>
      </c>
      <c r="O41" t="s">
        <v>11</v>
      </c>
      <c r="P41" s="1" t="s">
        <v>12</v>
      </c>
      <c r="Q41" s="1" t="s">
        <v>13</v>
      </c>
      <c r="R41" s="1" t="s">
        <v>14</v>
      </c>
      <c r="S41" s="1" t="s">
        <v>6</v>
      </c>
      <c r="T41" t="s">
        <v>7</v>
      </c>
      <c r="U41" t="s">
        <v>8</v>
      </c>
      <c r="V41" t="s">
        <v>9</v>
      </c>
      <c r="W41" t="s">
        <v>10</v>
      </c>
      <c r="X41" t="s">
        <v>11</v>
      </c>
      <c r="Y41" s="1" t="s">
        <v>12</v>
      </c>
      <c r="Z41" s="1" t="s">
        <v>13</v>
      </c>
      <c r="AA41" s="1" t="s">
        <v>14</v>
      </c>
      <c r="AC41" s="1" t="s">
        <v>6</v>
      </c>
      <c r="AD41" t="s">
        <v>7</v>
      </c>
      <c r="AE41" t="s">
        <v>8</v>
      </c>
      <c r="AF41" t="s">
        <v>9</v>
      </c>
      <c r="AG41" t="s">
        <v>10</v>
      </c>
      <c r="AH41" t="s">
        <v>11</v>
      </c>
      <c r="AI41" s="1" t="s">
        <v>15</v>
      </c>
      <c r="AJ41" s="1" t="s">
        <v>6</v>
      </c>
      <c r="AK41" s="1" t="s">
        <v>12</v>
      </c>
      <c r="AL41" s="1" t="s">
        <v>13</v>
      </c>
      <c r="AM41" s="1" t="s">
        <v>14</v>
      </c>
    </row>
    <row r="42" spans="1:39" x14ac:dyDescent="0.35">
      <c r="A42">
        <v>0</v>
      </c>
      <c r="B42">
        <v>30</v>
      </c>
      <c r="C42">
        <v>30</v>
      </c>
      <c r="D42">
        <v>30</v>
      </c>
      <c r="E42">
        <v>30</v>
      </c>
      <c r="F42">
        <v>30</v>
      </c>
      <c r="G42">
        <f>SUM(MIN(B42,30),MIN(C42,30),MIN(D42,30),MIN(E42,30), MIN(F42,30))</f>
        <v>150</v>
      </c>
      <c r="H42">
        <v>7</v>
      </c>
      <c r="I42" cm="1">
        <f t="array" ref="I42">SUMPRODUCT((B42:F42&lt;30)*(30-B42:F42))</f>
        <v>0</v>
      </c>
      <c r="J42">
        <v>0</v>
      </c>
      <c r="K42">
        <v>9</v>
      </c>
      <c r="L42">
        <v>30</v>
      </c>
      <c r="M42">
        <v>30</v>
      </c>
      <c r="N42">
        <v>30</v>
      </c>
      <c r="O42">
        <v>30</v>
      </c>
      <c r="P42">
        <f>SUM(MIN(K42,30),MIN(L42,30),MIN(M42,30),MIN(N42,30), MIN(O42,30))</f>
        <v>129</v>
      </c>
      <c r="Q42">
        <v>8</v>
      </c>
      <c r="R42" cm="1">
        <f t="array" ref="R42">SUMPRODUCT((K42:O42&lt;30)*(30-K42:O42))</f>
        <v>21</v>
      </c>
      <c r="S42">
        <v>0</v>
      </c>
      <c r="T42">
        <v>30</v>
      </c>
      <c r="U42">
        <v>30</v>
      </c>
      <c r="V42">
        <v>30</v>
      </c>
      <c r="W42">
        <v>30</v>
      </c>
      <c r="X42">
        <v>30</v>
      </c>
      <c r="Y42">
        <f>SUM(MIN(T42,30),MIN(U42,30),MIN(V42,30),MIN(W42,30), MIN(X42,30))</f>
        <v>150</v>
      </c>
      <c r="Z42">
        <v>8</v>
      </c>
      <c r="AA42" cm="1">
        <f t="array" ref="AA42">SUMPRODUCT((T42:X42&lt;30)*(30-T42:X42))</f>
        <v>0</v>
      </c>
      <c r="AC42">
        <v>0</v>
      </c>
      <c r="AD42">
        <v>1</v>
      </c>
      <c r="AE42">
        <v>2</v>
      </c>
      <c r="AF42">
        <v>3</v>
      </c>
      <c r="AG42">
        <v>9</v>
      </c>
      <c r="AH42">
        <v>12</v>
      </c>
      <c r="AI42">
        <f t="shared" ref="AI42:AI62" si="12">SUM(AD42:AH42)</f>
        <v>27</v>
      </c>
      <c r="AJ42">
        <v>0</v>
      </c>
      <c r="AK42">
        <f t="shared" ref="AK42:AK62" si="13">SUM(G42,P42,Y42)</f>
        <v>429</v>
      </c>
      <c r="AL42">
        <f t="shared" ref="AL42:AL62" si="14">SUM(H42,Q42,Z42,AI42)</f>
        <v>50</v>
      </c>
      <c r="AM42">
        <f>MAX(450-AK42,0)</f>
        <v>21</v>
      </c>
    </row>
    <row r="43" spans="1:39" x14ac:dyDescent="0.35">
      <c r="A43">
        <v>0.2</v>
      </c>
      <c r="B43">
        <v>30</v>
      </c>
      <c r="C43">
        <v>30</v>
      </c>
      <c r="D43">
        <v>30</v>
      </c>
      <c r="E43">
        <v>30</v>
      </c>
      <c r="F43">
        <v>30</v>
      </c>
      <c r="G43">
        <f t="shared" ref="G43:G49" si="15">SUM(MIN(B43,30),MIN(C43,30),MIN(D43,30),MIN(E43,30), MIN(F43,30))</f>
        <v>150</v>
      </c>
      <c r="H43">
        <v>2</v>
      </c>
      <c r="I43" cm="1">
        <f t="array" ref="I43">SUMPRODUCT((B43:F43&lt;30)*(30-B43:F43))</f>
        <v>0</v>
      </c>
      <c r="J43">
        <v>0.2</v>
      </c>
      <c r="K43">
        <v>9</v>
      </c>
      <c r="L43">
        <v>30</v>
      </c>
      <c r="M43">
        <v>30</v>
      </c>
      <c r="N43">
        <v>30</v>
      </c>
      <c r="O43">
        <v>30</v>
      </c>
      <c r="P43">
        <f t="shared" ref="P43:P54" si="16">SUM(MIN(K43,30),MIN(L43,30),MIN(M43,30),MIN(N43,30), MIN(O43,30))</f>
        <v>129</v>
      </c>
      <c r="Q43">
        <v>2</v>
      </c>
      <c r="R43" cm="1">
        <f t="array" ref="R43">SUMPRODUCT((K43:O43&lt;30)*(30-K43:O43))</f>
        <v>21</v>
      </c>
      <c r="S43">
        <v>0.2</v>
      </c>
      <c r="T43">
        <v>30</v>
      </c>
      <c r="U43">
        <v>30</v>
      </c>
      <c r="V43">
        <v>30</v>
      </c>
      <c r="W43">
        <v>30</v>
      </c>
      <c r="X43">
        <v>30</v>
      </c>
      <c r="Y43">
        <f t="shared" ref="Y43:Y60" si="17">SUM(MIN(T43,30),MIN(U43,30),MIN(V43,30),MIN(W43,30), MIN(X43,30))</f>
        <v>150</v>
      </c>
      <c r="Z43">
        <f t="shared" ref="Z43:Z60" si="18">SUM(MAX(T43-30,0),MAX(U43-30,0),MAX(V43-30,0),MAX(W43-30,0),MAX(X43-30,0))</f>
        <v>0</v>
      </c>
      <c r="AA43" cm="1">
        <f t="array" ref="AA43">SUMPRODUCT((T43:X43&lt;30)*(30-T43:X43))</f>
        <v>0</v>
      </c>
      <c r="AC43">
        <v>0.2</v>
      </c>
      <c r="AD43">
        <v>1</v>
      </c>
      <c r="AE43">
        <v>0</v>
      </c>
      <c r="AF43">
        <v>1</v>
      </c>
      <c r="AG43">
        <v>3</v>
      </c>
      <c r="AH43">
        <v>3</v>
      </c>
      <c r="AI43">
        <f t="shared" si="12"/>
        <v>8</v>
      </c>
      <c r="AJ43">
        <v>0.2</v>
      </c>
      <c r="AK43">
        <f t="shared" si="13"/>
        <v>429</v>
      </c>
      <c r="AL43">
        <f t="shared" si="14"/>
        <v>12</v>
      </c>
      <c r="AM43">
        <f t="shared" ref="AM43:AM49" si="19">MAX(450-AK43,0)</f>
        <v>21</v>
      </c>
    </row>
    <row r="44" spans="1:39" x14ac:dyDescent="0.35">
      <c r="A44">
        <v>0.4</v>
      </c>
      <c r="B44">
        <v>30</v>
      </c>
      <c r="C44">
        <v>30</v>
      </c>
      <c r="D44">
        <v>30</v>
      </c>
      <c r="E44">
        <v>30</v>
      </c>
      <c r="F44">
        <v>30</v>
      </c>
      <c r="G44">
        <f t="shared" si="15"/>
        <v>150</v>
      </c>
      <c r="H44">
        <f t="shared" ref="H44:H49" si="20">SUM(MAX(B44-30,0),MAX(C44-30,0),MAX(D44-30,0),MAX(E44-30,0),MAX(F44-30,0))</f>
        <v>0</v>
      </c>
      <c r="I44" cm="1">
        <f t="array" ref="I44">SUMPRODUCT((B44:F44&lt;30)*(30-B44:F44))</f>
        <v>0</v>
      </c>
      <c r="J44">
        <v>0.4</v>
      </c>
      <c r="K44">
        <v>9</v>
      </c>
      <c r="L44">
        <v>30</v>
      </c>
      <c r="M44">
        <v>30</v>
      </c>
      <c r="N44">
        <v>30</v>
      </c>
      <c r="O44">
        <v>30</v>
      </c>
      <c r="P44">
        <f t="shared" si="16"/>
        <v>129</v>
      </c>
      <c r="Q44">
        <f t="shared" ref="Q44:Q60" si="21">SUM(MAX(K44-30,0),MAX(L44-30,0),MAX(M44-30,0),MAX(N44-30,0),MAX(O44-30,0))</f>
        <v>0</v>
      </c>
      <c r="R44" cm="1">
        <f t="array" ref="R44">SUMPRODUCT((K44:O44&lt;30)*(30-K44:O44))</f>
        <v>21</v>
      </c>
      <c r="S44">
        <v>0.4</v>
      </c>
      <c r="T44">
        <v>30</v>
      </c>
      <c r="U44">
        <v>30</v>
      </c>
      <c r="V44">
        <v>30</v>
      </c>
      <c r="W44">
        <v>30</v>
      </c>
      <c r="X44">
        <v>30</v>
      </c>
      <c r="Y44">
        <f t="shared" si="17"/>
        <v>150</v>
      </c>
      <c r="Z44">
        <f t="shared" si="18"/>
        <v>0</v>
      </c>
      <c r="AA44" cm="1">
        <f t="array" ref="AA44">SUMPRODUCT((T44:X44&lt;30)*(30-T44:X44))</f>
        <v>0</v>
      </c>
      <c r="AC44">
        <v>0.4</v>
      </c>
      <c r="AD44">
        <v>0</v>
      </c>
      <c r="AE44">
        <v>0</v>
      </c>
      <c r="AF44">
        <v>0</v>
      </c>
      <c r="AG44">
        <v>1</v>
      </c>
      <c r="AH44">
        <v>2</v>
      </c>
      <c r="AI44">
        <f t="shared" si="12"/>
        <v>3</v>
      </c>
      <c r="AJ44">
        <v>0.4</v>
      </c>
      <c r="AK44">
        <f t="shared" si="13"/>
        <v>429</v>
      </c>
      <c r="AL44">
        <f t="shared" si="14"/>
        <v>3</v>
      </c>
      <c r="AM44">
        <f t="shared" si="19"/>
        <v>21</v>
      </c>
    </row>
    <row r="45" spans="1:39" x14ac:dyDescent="0.35">
      <c r="A45">
        <v>0.6</v>
      </c>
      <c r="B45">
        <v>30</v>
      </c>
      <c r="C45">
        <v>30</v>
      </c>
      <c r="D45">
        <v>30</v>
      </c>
      <c r="E45">
        <v>30</v>
      </c>
      <c r="F45">
        <v>30</v>
      </c>
      <c r="G45">
        <f t="shared" si="15"/>
        <v>150</v>
      </c>
      <c r="H45">
        <f t="shared" si="20"/>
        <v>0</v>
      </c>
      <c r="I45" cm="1">
        <f t="array" ref="I45">SUMPRODUCT((B45:F45&lt;30)*(30-B45:F45))</f>
        <v>0</v>
      </c>
      <c r="J45">
        <v>0.6</v>
      </c>
      <c r="K45">
        <v>9</v>
      </c>
      <c r="L45">
        <v>30</v>
      </c>
      <c r="M45">
        <v>30</v>
      </c>
      <c r="N45">
        <v>30</v>
      </c>
      <c r="O45">
        <v>30</v>
      </c>
      <c r="P45">
        <f t="shared" si="16"/>
        <v>129</v>
      </c>
      <c r="Q45">
        <f t="shared" si="21"/>
        <v>0</v>
      </c>
      <c r="R45" cm="1">
        <f t="array" ref="R45">SUMPRODUCT((K45:O45&lt;30)*(30-K45:O45))</f>
        <v>21</v>
      </c>
      <c r="S45">
        <v>0.6</v>
      </c>
      <c r="T45">
        <v>30</v>
      </c>
      <c r="U45">
        <v>30</v>
      </c>
      <c r="V45">
        <v>30</v>
      </c>
      <c r="W45">
        <v>30</v>
      </c>
      <c r="X45">
        <v>30</v>
      </c>
      <c r="Y45">
        <f t="shared" si="17"/>
        <v>150</v>
      </c>
      <c r="Z45">
        <f t="shared" si="18"/>
        <v>0</v>
      </c>
      <c r="AA45" cm="1">
        <f t="array" ref="AA45">SUMPRODUCT((T45:X45&lt;30)*(30-T45:X45))</f>
        <v>0</v>
      </c>
      <c r="AC45">
        <v>0.6</v>
      </c>
      <c r="AD45">
        <v>0</v>
      </c>
      <c r="AE45">
        <v>0</v>
      </c>
      <c r="AF45">
        <v>0</v>
      </c>
      <c r="AG45">
        <v>1</v>
      </c>
      <c r="AH45">
        <v>1</v>
      </c>
      <c r="AI45">
        <f t="shared" si="12"/>
        <v>2</v>
      </c>
      <c r="AJ45">
        <v>0.6</v>
      </c>
      <c r="AK45">
        <f t="shared" si="13"/>
        <v>429</v>
      </c>
      <c r="AL45">
        <f t="shared" si="14"/>
        <v>2</v>
      </c>
      <c r="AM45">
        <f t="shared" si="19"/>
        <v>21</v>
      </c>
    </row>
    <row r="46" spans="1:39" x14ac:dyDescent="0.35">
      <c r="A46">
        <v>0.8</v>
      </c>
      <c r="B46">
        <v>30</v>
      </c>
      <c r="C46">
        <v>30</v>
      </c>
      <c r="D46">
        <v>30</v>
      </c>
      <c r="E46">
        <v>30</v>
      </c>
      <c r="F46">
        <v>30</v>
      </c>
      <c r="G46">
        <f t="shared" si="15"/>
        <v>150</v>
      </c>
      <c r="H46">
        <f t="shared" si="20"/>
        <v>0</v>
      </c>
      <c r="I46" cm="1">
        <f t="array" ref="I46">SUMPRODUCT((B46:F46&lt;30)*(30-B46:F46))</f>
        <v>0</v>
      </c>
      <c r="J46">
        <v>0.8</v>
      </c>
      <c r="K46">
        <v>9</v>
      </c>
      <c r="L46">
        <v>30</v>
      </c>
      <c r="M46">
        <v>30</v>
      </c>
      <c r="N46">
        <v>30</v>
      </c>
      <c r="O46">
        <v>30</v>
      </c>
      <c r="P46">
        <f t="shared" si="16"/>
        <v>129</v>
      </c>
      <c r="Q46">
        <f t="shared" si="21"/>
        <v>0</v>
      </c>
      <c r="R46" cm="1">
        <f t="array" ref="R46">SUMPRODUCT((K46:O46&lt;30)*(30-K46:O46))</f>
        <v>21</v>
      </c>
      <c r="S46">
        <v>0.8</v>
      </c>
      <c r="T46">
        <v>30</v>
      </c>
      <c r="U46">
        <v>30</v>
      </c>
      <c r="V46">
        <v>30</v>
      </c>
      <c r="W46">
        <v>30</v>
      </c>
      <c r="X46">
        <v>30</v>
      </c>
      <c r="Y46">
        <f t="shared" si="17"/>
        <v>150</v>
      </c>
      <c r="Z46">
        <f t="shared" si="18"/>
        <v>0</v>
      </c>
      <c r="AA46" cm="1">
        <f t="array" ref="AA46">SUMPRODUCT((T46:X46&lt;30)*(30-T46:X46))</f>
        <v>0</v>
      </c>
      <c r="AC46">
        <v>0.8</v>
      </c>
      <c r="AD46">
        <v>0</v>
      </c>
      <c r="AE46">
        <v>0</v>
      </c>
      <c r="AF46">
        <v>0</v>
      </c>
      <c r="AG46">
        <v>1</v>
      </c>
      <c r="AH46">
        <v>0</v>
      </c>
      <c r="AI46">
        <f t="shared" si="12"/>
        <v>1</v>
      </c>
      <c r="AJ46">
        <v>0.8</v>
      </c>
      <c r="AK46">
        <f t="shared" si="13"/>
        <v>429</v>
      </c>
      <c r="AL46">
        <f t="shared" si="14"/>
        <v>1</v>
      </c>
      <c r="AM46">
        <f t="shared" si="19"/>
        <v>21</v>
      </c>
    </row>
    <row r="47" spans="1:39" x14ac:dyDescent="0.35">
      <c r="A47">
        <v>1</v>
      </c>
      <c r="B47">
        <v>30</v>
      </c>
      <c r="C47">
        <v>30</v>
      </c>
      <c r="D47">
        <v>30</v>
      </c>
      <c r="E47">
        <v>30</v>
      </c>
      <c r="F47">
        <v>30</v>
      </c>
      <c r="G47">
        <f t="shared" si="15"/>
        <v>150</v>
      </c>
      <c r="H47">
        <f t="shared" si="20"/>
        <v>0</v>
      </c>
      <c r="I47">
        <v>0</v>
      </c>
      <c r="J47">
        <v>1</v>
      </c>
      <c r="K47">
        <v>9</v>
      </c>
      <c r="L47">
        <v>30</v>
      </c>
      <c r="M47">
        <v>30</v>
      </c>
      <c r="N47">
        <v>30</v>
      </c>
      <c r="O47">
        <v>30</v>
      </c>
      <c r="P47">
        <f t="shared" si="16"/>
        <v>129</v>
      </c>
      <c r="Q47">
        <f t="shared" si="21"/>
        <v>0</v>
      </c>
      <c r="R47" cm="1">
        <f t="array" ref="R47">SUMPRODUCT((K47:O47&lt;30)*(30-K47:O47))</f>
        <v>21</v>
      </c>
      <c r="S47">
        <v>1</v>
      </c>
      <c r="T47">
        <v>30</v>
      </c>
      <c r="U47">
        <v>30</v>
      </c>
      <c r="V47">
        <v>30</v>
      </c>
      <c r="W47">
        <v>30</v>
      </c>
      <c r="X47">
        <v>30</v>
      </c>
      <c r="Y47">
        <f t="shared" si="17"/>
        <v>150</v>
      </c>
      <c r="Z47">
        <f t="shared" si="18"/>
        <v>0</v>
      </c>
      <c r="AA47" cm="1">
        <f t="array" ref="AA47">SUMPRODUCT((T47:X47&lt;30)*(30-T47:X47))</f>
        <v>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f t="shared" si="12"/>
        <v>1</v>
      </c>
      <c r="AJ47">
        <v>1</v>
      </c>
      <c r="AK47">
        <f t="shared" si="13"/>
        <v>429</v>
      </c>
      <c r="AL47">
        <f t="shared" si="14"/>
        <v>1</v>
      </c>
      <c r="AM47">
        <f t="shared" si="19"/>
        <v>21</v>
      </c>
    </row>
    <row r="48" spans="1:39" x14ac:dyDescent="0.35">
      <c r="A48">
        <v>1.2</v>
      </c>
      <c r="B48">
        <v>1</v>
      </c>
      <c r="C48">
        <v>0</v>
      </c>
      <c r="D48">
        <v>2</v>
      </c>
      <c r="E48">
        <v>2</v>
      </c>
      <c r="F48">
        <v>1</v>
      </c>
      <c r="G48">
        <f t="shared" si="15"/>
        <v>6</v>
      </c>
      <c r="H48">
        <f t="shared" si="20"/>
        <v>0</v>
      </c>
      <c r="I48">
        <v>0</v>
      </c>
      <c r="J48">
        <v>1.2</v>
      </c>
      <c r="K48">
        <v>9</v>
      </c>
      <c r="L48">
        <v>30</v>
      </c>
      <c r="M48">
        <v>30</v>
      </c>
      <c r="N48">
        <v>30</v>
      </c>
      <c r="O48">
        <v>30</v>
      </c>
      <c r="P48">
        <f t="shared" si="16"/>
        <v>129</v>
      </c>
      <c r="Q48">
        <f t="shared" si="21"/>
        <v>0</v>
      </c>
      <c r="R48" cm="1">
        <f t="array" ref="R48">SUMPRODUCT((K48:O48&lt;30)*(30-K48:O48))</f>
        <v>21</v>
      </c>
      <c r="S48">
        <v>1.2</v>
      </c>
      <c r="T48">
        <v>30</v>
      </c>
      <c r="U48">
        <v>30</v>
      </c>
      <c r="V48">
        <v>30</v>
      </c>
      <c r="W48">
        <v>30</v>
      </c>
      <c r="X48">
        <v>30</v>
      </c>
      <c r="Y48">
        <f t="shared" si="17"/>
        <v>150</v>
      </c>
      <c r="Z48">
        <f t="shared" si="18"/>
        <v>0</v>
      </c>
      <c r="AA48" cm="1">
        <f t="array" ref="AA48">SUMPRODUCT((T48:X48&lt;30)*(30-T48:X48))</f>
        <v>0</v>
      </c>
      <c r="AC48">
        <v>1.2</v>
      </c>
      <c r="AD48">
        <v>0</v>
      </c>
      <c r="AE48">
        <v>0</v>
      </c>
      <c r="AF48">
        <v>0</v>
      </c>
      <c r="AG48">
        <v>1</v>
      </c>
      <c r="AH48">
        <v>0</v>
      </c>
      <c r="AI48">
        <f t="shared" si="12"/>
        <v>1</v>
      </c>
      <c r="AJ48">
        <v>1.2</v>
      </c>
      <c r="AK48">
        <f t="shared" si="13"/>
        <v>285</v>
      </c>
      <c r="AL48">
        <f t="shared" si="14"/>
        <v>1</v>
      </c>
      <c r="AM48">
        <f t="shared" si="19"/>
        <v>165</v>
      </c>
    </row>
    <row r="49" spans="1:39" x14ac:dyDescent="0.35">
      <c r="A49">
        <v>1.4</v>
      </c>
      <c r="B49">
        <v>0</v>
      </c>
      <c r="C49">
        <v>0</v>
      </c>
      <c r="D49">
        <v>0</v>
      </c>
      <c r="E49">
        <v>0</v>
      </c>
      <c r="F49">
        <v>0</v>
      </c>
      <c r="G49">
        <f t="shared" si="15"/>
        <v>0</v>
      </c>
      <c r="H49">
        <f t="shared" si="20"/>
        <v>0</v>
      </c>
      <c r="I49">
        <v>0</v>
      </c>
      <c r="J49">
        <v>1.4</v>
      </c>
      <c r="K49">
        <v>9</v>
      </c>
      <c r="L49">
        <v>30</v>
      </c>
      <c r="M49">
        <v>30</v>
      </c>
      <c r="N49">
        <v>30</v>
      </c>
      <c r="O49">
        <v>30</v>
      </c>
      <c r="P49">
        <f t="shared" si="16"/>
        <v>129</v>
      </c>
      <c r="Q49">
        <f t="shared" si="21"/>
        <v>0</v>
      </c>
      <c r="R49" cm="1">
        <f t="array" ref="R49">SUMPRODUCT((K49:O49&lt;30)*(30-K49:O49))</f>
        <v>21</v>
      </c>
      <c r="S49">
        <v>1.4</v>
      </c>
      <c r="T49">
        <v>30</v>
      </c>
      <c r="U49">
        <v>30</v>
      </c>
      <c r="V49">
        <v>30</v>
      </c>
      <c r="W49">
        <v>30</v>
      </c>
      <c r="X49">
        <v>30</v>
      </c>
      <c r="Y49">
        <f t="shared" si="17"/>
        <v>150</v>
      </c>
      <c r="Z49">
        <f t="shared" si="18"/>
        <v>0</v>
      </c>
      <c r="AA49" cm="1">
        <f t="array" ref="AA49">SUMPRODUCT((T49:X49&lt;30)*(30-T49:X49))</f>
        <v>0</v>
      </c>
      <c r="AC49">
        <v>1.4</v>
      </c>
      <c r="AD49">
        <v>0</v>
      </c>
      <c r="AE49">
        <v>0</v>
      </c>
      <c r="AF49">
        <v>0</v>
      </c>
      <c r="AG49">
        <v>1</v>
      </c>
      <c r="AH49">
        <v>0</v>
      </c>
      <c r="AI49">
        <f t="shared" si="12"/>
        <v>1</v>
      </c>
      <c r="AJ49">
        <v>1.4</v>
      </c>
      <c r="AK49">
        <f t="shared" si="13"/>
        <v>279</v>
      </c>
      <c r="AL49">
        <f t="shared" si="14"/>
        <v>1</v>
      </c>
      <c r="AM49">
        <f t="shared" si="19"/>
        <v>171</v>
      </c>
    </row>
    <row r="50" spans="1:39" x14ac:dyDescent="0.35">
      <c r="A50">
        <v>1.6</v>
      </c>
      <c r="B50">
        <v>0</v>
      </c>
      <c r="C50">
        <v>0</v>
      </c>
      <c r="D50">
        <v>0</v>
      </c>
      <c r="E50">
        <v>0</v>
      </c>
      <c r="F50">
        <v>0</v>
      </c>
      <c r="G50">
        <f t="shared" ref="G50:G60" si="22">SUM(MIN(B50,30),MIN(C50,30),MIN(D50,30),MIN(E50,30), MIN(F50,30))</f>
        <v>0</v>
      </c>
      <c r="H50">
        <f t="shared" ref="H50:H60" si="23">SUM(MAX(B50-30,0),MAX(C50-30,0),MAX(D50-30,0),MAX(E50-30,0),MAX(F50-30,0))</f>
        <v>0</v>
      </c>
      <c r="I50">
        <v>0</v>
      </c>
      <c r="J50">
        <v>1.6</v>
      </c>
      <c r="K50">
        <v>9</v>
      </c>
      <c r="L50">
        <v>30</v>
      </c>
      <c r="M50">
        <v>30</v>
      </c>
      <c r="N50">
        <v>30</v>
      </c>
      <c r="O50">
        <v>30</v>
      </c>
      <c r="P50">
        <f t="shared" si="16"/>
        <v>129</v>
      </c>
      <c r="Q50">
        <f t="shared" si="21"/>
        <v>0</v>
      </c>
      <c r="R50" cm="1">
        <f t="array" ref="R50">SUMPRODUCT((K50:O50&lt;30)*(30-K50:O50))</f>
        <v>21</v>
      </c>
      <c r="S50">
        <v>1.6</v>
      </c>
      <c r="T50">
        <v>30</v>
      </c>
      <c r="U50">
        <v>30</v>
      </c>
      <c r="V50">
        <v>30</v>
      </c>
      <c r="W50">
        <v>30</v>
      </c>
      <c r="X50">
        <v>30</v>
      </c>
      <c r="Y50">
        <f t="shared" si="17"/>
        <v>150</v>
      </c>
      <c r="Z50">
        <f t="shared" si="18"/>
        <v>0</v>
      </c>
      <c r="AA50" cm="1">
        <f t="array" ref="AA50">SUMPRODUCT((T50:X50&lt;30)*(30-T50:X50))</f>
        <v>0</v>
      </c>
      <c r="AC50">
        <v>1.6</v>
      </c>
      <c r="AD50">
        <v>0</v>
      </c>
      <c r="AE50">
        <v>0</v>
      </c>
      <c r="AF50">
        <v>0</v>
      </c>
      <c r="AG50">
        <v>1</v>
      </c>
      <c r="AH50">
        <v>0</v>
      </c>
      <c r="AI50">
        <f t="shared" si="12"/>
        <v>1</v>
      </c>
      <c r="AJ50">
        <v>1.6</v>
      </c>
      <c r="AK50">
        <f t="shared" si="13"/>
        <v>279</v>
      </c>
      <c r="AL50">
        <f t="shared" si="14"/>
        <v>1</v>
      </c>
      <c r="AM50">
        <f>MAX(450-AK50,0)</f>
        <v>171</v>
      </c>
    </row>
    <row r="51" spans="1:39" x14ac:dyDescent="0.35">
      <c r="A51">
        <v>1.8</v>
      </c>
      <c r="B51">
        <v>0</v>
      </c>
      <c r="C51">
        <v>0</v>
      </c>
      <c r="D51">
        <v>0</v>
      </c>
      <c r="E51">
        <v>0</v>
      </c>
      <c r="F51">
        <v>0</v>
      </c>
      <c r="G51">
        <f t="shared" si="22"/>
        <v>0</v>
      </c>
      <c r="H51">
        <f t="shared" si="23"/>
        <v>0</v>
      </c>
      <c r="I51">
        <v>0</v>
      </c>
      <c r="J51">
        <v>1.8</v>
      </c>
      <c r="K51">
        <v>9</v>
      </c>
      <c r="L51">
        <v>30</v>
      </c>
      <c r="M51">
        <v>30</v>
      </c>
      <c r="N51">
        <v>30</v>
      </c>
      <c r="O51">
        <v>30</v>
      </c>
      <c r="P51">
        <f t="shared" si="16"/>
        <v>129</v>
      </c>
      <c r="Q51">
        <f t="shared" si="21"/>
        <v>0</v>
      </c>
      <c r="R51" cm="1">
        <f t="array" ref="R51">SUMPRODUCT((K51:O51&lt;30)*(30-K51:O51))</f>
        <v>21</v>
      </c>
      <c r="S51">
        <v>1.8</v>
      </c>
      <c r="T51">
        <v>30</v>
      </c>
      <c r="U51">
        <v>30</v>
      </c>
      <c r="V51">
        <v>30</v>
      </c>
      <c r="W51">
        <v>30</v>
      </c>
      <c r="X51">
        <v>30</v>
      </c>
      <c r="Y51">
        <f t="shared" si="17"/>
        <v>150</v>
      </c>
      <c r="Z51">
        <f t="shared" si="18"/>
        <v>0</v>
      </c>
      <c r="AA51" cm="1">
        <f t="array" ref="AA51">SUMPRODUCT((T51:X51&lt;30)*(30-T51:X51))</f>
        <v>0</v>
      </c>
      <c r="AC51">
        <v>1.8</v>
      </c>
      <c r="AD51">
        <v>0</v>
      </c>
      <c r="AE51">
        <v>0</v>
      </c>
      <c r="AF51">
        <v>0</v>
      </c>
      <c r="AG51">
        <v>1</v>
      </c>
      <c r="AH51">
        <v>0</v>
      </c>
      <c r="AI51">
        <f t="shared" si="12"/>
        <v>1</v>
      </c>
      <c r="AJ51">
        <v>1.8</v>
      </c>
      <c r="AK51">
        <f t="shared" si="13"/>
        <v>279</v>
      </c>
      <c r="AL51">
        <f t="shared" si="14"/>
        <v>1</v>
      </c>
      <c r="AM51">
        <f t="shared" ref="AM51:AM62" si="24">MAX(450-AK51,0)</f>
        <v>171</v>
      </c>
    </row>
    <row r="52" spans="1:39" x14ac:dyDescent="0.35">
      <c r="A52">
        <v>2</v>
      </c>
      <c r="B52">
        <v>0</v>
      </c>
      <c r="C52">
        <v>0</v>
      </c>
      <c r="D52">
        <v>0</v>
      </c>
      <c r="E52">
        <v>0</v>
      </c>
      <c r="F52">
        <v>0</v>
      </c>
      <c r="G52">
        <f t="shared" si="22"/>
        <v>0</v>
      </c>
      <c r="H52">
        <f t="shared" si="23"/>
        <v>0</v>
      </c>
      <c r="I52">
        <v>0</v>
      </c>
      <c r="J52">
        <v>2</v>
      </c>
      <c r="K52">
        <v>9</v>
      </c>
      <c r="L52">
        <v>30</v>
      </c>
      <c r="M52">
        <v>30</v>
      </c>
      <c r="N52">
        <v>30</v>
      </c>
      <c r="O52">
        <v>30</v>
      </c>
      <c r="P52">
        <f t="shared" si="16"/>
        <v>129</v>
      </c>
      <c r="Q52">
        <f t="shared" si="21"/>
        <v>0</v>
      </c>
      <c r="R52" cm="1">
        <f t="array" ref="R52">SUMPRODUCT((K52:O52&lt;30)*(30-K52:O52))</f>
        <v>21</v>
      </c>
      <c r="S52">
        <v>2</v>
      </c>
      <c r="T52">
        <v>30</v>
      </c>
      <c r="U52">
        <v>30</v>
      </c>
      <c r="V52">
        <v>30</v>
      </c>
      <c r="W52">
        <v>30</v>
      </c>
      <c r="X52">
        <v>30</v>
      </c>
      <c r="Y52">
        <f t="shared" si="17"/>
        <v>150</v>
      </c>
      <c r="Z52">
        <f t="shared" si="18"/>
        <v>0</v>
      </c>
      <c r="AA52" cm="1">
        <f t="array" ref="AA52">SUMPRODUCT((T52:X52&lt;30)*(30-T52:X52))</f>
        <v>0</v>
      </c>
      <c r="AC52">
        <v>2</v>
      </c>
      <c r="AD52">
        <v>0</v>
      </c>
      <c r="AE52">
        <v>0</v>
      </c>
      <c r="AF52">
        <v>0</v>
      </c>
      <c r="AG52">
        <v>1</v>
      </c>
      <c r="AH52">
        <v>0</v>
      </c>
      <c r="AI52">
        <f t="shared" si="12"/>
        <v>1</v>
      </c>
      <c r="AJ52">
        <v>2</v>
      </c>
      <c r="AK52">
        <f t="shared" si="13"/>
        <v>279</v>
      </c>
      <c r="AL52">
        <f t="shared" si="14"/>
        <v>1</v>
      </c>
      <c r="AM52">
        <f t="shared" si="24"/>
        <v>171</v>
      </c>
    </row>
    <row r="53" spans="1:39" x14ac:dyDescent="0.35">
      <c r="A53">
        <v>2.2000000000000002</v>
      </c>
      <c r="B53">
        <v>0</v>
      </c>
      <c r="C53">
        <v>0</v>
      </c>
      <c r="D53">
        <v>0</v>
      </c>
      <c r="E53">
        <v>0</v>
      </c>
      <c r="F53">
        <v>0</v>
      </c>
      <c r="G53">
        <f t="shared" si="22"/>
        <v>0</v>
      </c>
      <c r="H53">
        <f t="shared" si="23"/>
        <v>0</v>
      </c>
      <c r="I53">
        <v>0</v>
      </c>
      <c r="J53">
        <v>2.2000000000000002</v>
      </c>
      <c r="K53">
        <v>8</v>
      </c>
      <c r="L53">
        <v>27</v>
      </c>
      <c r="M53">
        <v>29</v>
      </c>
      <c r="N53">
        <v>19</v>
      </c>
      <c r="O53">
        <v>19</v>
      </c>
      <c r="P53">
        <f t="shared" si="16"/>
        <v>102</v>
      </c>
      <c r="Q53">
        <f t="shared" si="21"/>
        <v>0</v>
      </c>
      <c r="R53" cm="1">
        <f t="array" ref="R53">SUMPRODUCT((K53:O53&lt;30)*(30-K53:O53))</f>
        <v>48</v>
      </c>
      <c r="S53">
        <v>2.2000000000000002</v>
      </c>
      <c r="T53">
        <v>30</v>
      </c>
      <c r="U53">
        <v>30</v>
      </c>
      <c r="V53">
        <v>30</v>
      </c>
      <c r="W53">
        <v>30</v>
      </c>
      <c r="X53">
        <v>30</v>
      </c>
      <c r="Y53">
        <f t="shared" si="17"/>
        <v>150</v>
      </c>
      <c r="Z53">
        <f t="shared" si="18"/>
        <v>0</v>
      </c>
      <c r="AA53" cm="1">
        <f t="array" ref="AA53">SUMPRODUCT((T53:X53&lt;30)*(30-T53:X53))</f>
        <v>0</v>
      </c>
      <c r="AC53">
        <v>2.2000000000000002</v>
      </c>
      <c r="AD53">
        <v>0</v>
      </c>
      <c r="AE53">
        <v>0</v>
      </c>
      <c r="AF53">
        <v>0</v>
      </c>
      <c r="AG53">
        <v>1</v>
      </c>
      <c r="AH53">
        <v>0</v>
      </c>
      <c r="AI53">
        <f t="shared" si="12"/>
        <v>1</v>
      </c>
      <c r="AJ53">
        <v>2.2000000000000002</v>
      </c>
      <c r="AK53">
        <f t="shared" si="13"/>
        <v>252</v>
      </c>
      <c r="AL53">
        <f t="shared" si="14"/>
        <v>1</v>
      </c>
      <c r="AM53">
        <f t="shared" si="24"/>
        <v>198</v>
      </c>
    </row>
    <row r="54" spans="1:39" x14ac:dyDescent="0.35">
      <c r="A54">
        <v>2.4</v>
      </c>
      <c r="B54">
        <v>0</v>
      </c>
      <c r="C54">
        <v>0</v>
      </c>
      <c r="D54">
        <v>0</v>
      </c>
      <c r="E54">
        <v>0</v>
      </c>
      <c r="F54">
        <v>0</v>
      </c>
      <c r="G54">
        <f t="shared" si="22"/>
        <v>0</v>
      </c>
      <c r="H54">
        <f t="shared" si="23"/>
        <v>0</v>
      </c>
      <c r="I54">
        <v>0</v>
      </c>
      <c r="J54">
        <v>2.4</v>
      </c>
      <c r="K54">
        <v>0</v>
      </c>
      <c r="L54">
        <v>0</v>
      </c>
      <c r="M54">
        <v>0</v>
      </c>
      <c r="N54">
        <v>0</v>
      </c>
      <c r="O54">
        <v>0</v>
      </c>
      <c r="P54">
        <f t="shared" si="16"/>
        <v>0</v>
      </c>
      <c r="Q54">
        <f t="shared" si="21"/>
        <v>0</v>
      </c>
      <c r="S54">
        <v>2.4</v>
      </c>
      <c r="T54">
        <v>30</v>
      </c>
      <c r="U54">
        <v>30</v>
      </c>
      <c r="V54">
        <v>30</v>
      </c>
      <c r="W54">
        <v>30</v>
      </c>
      <c r="X54">
        <v>30</v>
      </c>
      <c r="Y54">
        <f t="shared" si="17"/>
        <v>150</v>
      </c>
      <c r="Z54">
        <f t="shared" si="18"/>
        <v>0</v>
      </c>
      <c r="AA54" cm="1">
        <f t="array" ref="AA54">SUMPRODUCT((T54:X54&lt;30)*(30-T54:X54))</f>
        <v>0</v>
      </c>
      <c r="AC54">
        <v>2.4</v>
      </c>
      <c r="AD54">
        <v>0</v>
      </c>
      <c r="AE54">
        <v>0</v>
      </c>
      <c r="AF54">
        <v>0</v>
      </c>
      <c r="AG54">
        <v>1</v>
      </c>
      <c r="AH54">
        <v>0</v>
      </c>
      <c r="AI54">
        <f t="shared" si="12"/>
        <v>1</v>
      </c>
      <c r="AJ54">
        <v>2.4</v>
      </c>
      <c r="AK54">
        <f t="shared" si="13"/>
        <v>150</v>
      </c>
      <c r="AL54">
        <f t="shared" si="14"/>
        <v>1</v>
      </c>
      <c r="AM54">
        <f t="shared" si="24"/>
        <v>300</v>
      </c>
    </row>
    <row r="55" spans="1:39" x14ac:dyDescent="0.35">
      <c r="A55">
        <v>2.6</v>
      </c>
      <c r="B55">
        <v>0</v>
      </c>
      <c r="C55">
        <v>0</v>
      </c>
      <c r="D55">
        <v>0</v>
      </c>
      <c r="E55">
        <v>0</v>
      </c>
      <c r="F55">
        <v>0</v>
      </c>
      <c r="G55">
        <f t="shared" si="22"/>
        <v>0</v>
      </c>
      <c r="H55">
        <f t="shared" si="23"/>
        <v>0</v>
      </c>
      <c r="I55">
        <v>0</v>
      </c>
      <c r="J55">
        <v>2.6</v>
      </c>
      <c r="K55">
        <v>0</v>
      </c>
      <c r="L55">
        <v>0</v>
      </c>
      <c r="M55">
        <v>0</v>
      </c>
      <c r="N55">
        <v>0</v>
      </c>
      <c r="O55">
        <v>0</v>
      </c>
      <c r="P55">
        <f t="shared" ref="P55:P60" si="25">SUM(MIN(K55,30),MIN(L55,30),MIN(M55,30),MIN(N55,30), MIN(O55,30))</f>
        <v>0</v>
      </c>
      <c r="Q55">
        <f t="shared" si="21"/>
        <v>0</v>
      </c>
      <c r="S55">
        <v>2.6</v>
      </c>
      <c r="T55">
        <v>30</v>
      </c>
      <c r="U55">
        <v>30</v>
      </c>
      <c r="V55">
        <v>30</v>
      </c>
      <c r="W55">
        <v>30</v>
      </c>
      <c r="X55">
        <v>30</v>
      </c>
      <c r="Y55">
        <f t="shared" si="17"/>
        <v>150</v>
      </c>
      <c r="Z55">
        <f t="shared" si="18"/>
        <v>0</v>
      </c>
      <c r="AA55" cm="1">
        <f t="array" ref="AA55">SUMPRODUCT((T55:X55&lt;30)*(30-T55:X55))</f>
        <v>0</v>
      </c>
      <c r="AC55">
        <v>2.6</v>
      </c>
      <c r="AD55">
        <v>0</v>
      </c>
      <c r="AE55">
        <v>0</v>
      </c>
      <c r="AF55">
        <v>0</v>
      </c>
      <c r="AG55">
        <v>1</v>
      </c>
      <c r="AH55">
        <v>0</v>
      </c>
      <c r="AI55">
        <f t="shared" si="12"/>
        <v>1</v>
      </c>
      <c r="AJ55">
        <v>2.6</v>
      </c>
      <c r="AK55">
        <f t="shared" si="13"/>
        <v>150</v>
      </c>
      <c r="AL55">
        <f t="shared" si="14"/>
        <v>1</v>
      </c>
      <c r="AM55">
        <f t="shared" si="24"/>
        <v>300</v>
      </c>
    </row>
    <row r="56" spans="1:39" x14ac:dyDescent="0.35">
      <c r="A56">
        <v>2.8</v>
      </c>
      <c r="B56">
        <v>0</v>
      </c>
      <c r="C56">
        <v>0</v>
      </c>
      <c r="D56">
        <v>0</v>
      </c>
      <c r="E56">
        <v>0</v>
      </c>
      <c r="F56">
        <v>0</v>
      </c>
      <c r="G56">
        <f t="shared" si="22"/>
        <v>0</v>
      </c>
      <c r="H56">
        <f t="shared" si="23"/>
        <v>0</v>
      </c>
      <c r="I56">
        <v>0</v>
      </c>
      <c r="J56">
        <v>2.8</v>
      </c>
      <c r="K56">
        <v>0</v>
      </c>
      <c r="L56">
        <v>0</v>
      </c>
      <c r="M56">
        <v>0</v>
      </c>
      <c r="N56">
        <v>0</v>
      </c>
      <c r="O56">
        <v>0</v>
      </c>
      <c r="P56">
        <f t="shared" si="25"/>
        <v>0</v>
      </c>
      <c r="Q56">
        <f t="shared" si="21"/>
        <v>0</v>
      </c>
      <c r="S56">
        <v>2.8</v>
      </c>
      <c r="T56">
        <v>30</v>
      </c>
      <c r="U56">
        <v>30</v>
      </c>
      <c r="V56">
        <v>30</v>
      </c>
      <c r="W56">
        <v>30</v>
      </c>
      <c r="X56">
        <v>30</v>
      </c>
      <c r="Y56">
        <f t="shared" si="17"/>
        <v>150</v>
      </c>
      <c r="Z56">
        <f t="shared" si="18"/>
        <v>0</v>
      </c>
      <c r="AA56" cm="1">
        <f t="array" ref="AA56">SUMPRODUCT((T56:X56&lt;30)*(30-T56:X56))</f>
        <v>0</v>
      </c>
      <c r="AC56">
        <v>2.8</v>
      </c>
      <c r="AD56">
        <v>0</v>
      </c>
      <c r="AE56">
        <v>0</v>
      </c>
      <c r="AF56">
        <v>0</v>
      </c>
      <c r="AG56">
        <v>1</v>
      </c>
      <c r="AH56">
        <v>0</v>
      </c>
      <c r="AI56">
        <f t="shared" si="12"/>
        <v>1</v>
      </c>
      <c r="AJ56">
        <v>2.8</v>
      </c>
      <c r="AK56">
        <f t="shared" si="13"/>
        <v>150</v>
      </c>
      <c r="AL56">
        <f t="shared" si="14"/>
        <v>1</v>
      </c>
      <c r="AM56">
        <f t="shared" si="24"/>
        <v>300</v>
      </c>
    </row>
    <row r="57" spans="1:39" x14ac:dyDescent="0.35">
      <c r="A57">
        <v>3</v>
      </c>
      <c r="B57">
        <v>0</v>
      </c>
      <c r="C57">
        <v>0</v>
      </c>
      <c r="D57">
        <v>0</v>
      </c>
      <c r="E57">
        <v>0</v>
      </c>
      <c r="F57">
        <v>0</v>
      </c>
      <c r="G57">
        <f t="shared" si="22"/>
        <v>0</v>
      </c>
      <c r="H57">
        <f t="shared" si="23"/>
        <v>0</v>
      </c>
      <c r="I57">
        <v>0</v>
      </c>
      <c r="J57">
        <v>3</v>
      </c>
      <c r="K57">
        <v>0</v>
      </c>
      <c r="L57">
        <v>0</v>
      </c>
      <c r="M57">
        <v>0</v>
      </c>
      <c r="N57">
        <v>0</v>
      </c>
      <c r="O57">
        <v>0</v>
      </c>
      <c r="P57">
        <f t="shared" si="25"/>
        <v>0</v>
      </c>
      <c r="Q57">
        <f t="shared" si="21"/>
        <v>0</v>
      </c>
      <c r="S57">
        <v>3</v>
      </c>
      <c r="T57">
        <v>30</v>
      </c>
      <c r="U57">
        <v>30</v>
      </c>
      <c r="V57">
        <v>30</v>
      </c>
      <c r="W57">
        <v>30</v>
      </c>
      <c r="X57">
        <v>30</v>
      </c>
      <c r="Y57">
        <f t="shared" si="17"/>
        <v>150</v>
      </c>
      <c r="Z57">
        <f t="shared" si="18"/>
        <v>0</v>
      </c>
      <c r="AA57" cm="1">
        <f t="array" ref="AA57">SUMPRODUCT((T57:X57&lt;30)*(30-T57:X57))</f>
        <v>0</v>
      </c>
      <c r="AC57">
        <v>3</v>
      </c>
      <c r="AD57">
        <v>0</v>
      </c>
      <c r="AE57">
        <v>0</v>
      </c>
      <c r="AF57">
        <v>0</v>
      </c>
      <c r="AG57">
        <v>1</v>
      </c>
      <c r="AH57">
        <v>0</v>
      </c>
      <c r="AI57">
        <f t="shared" si="12"/>
        <v>1</v>
      </c>
      <c r="AJ57">
        <v>3</v>
      </c>
      <c r="AK57">
        <f t="shared" si="13"/>
        <v>150</v>
      </c>
      <c r="AL57">
        <f t="shared" si="14"/>
        <v>1</v>
      </c>
      <c r="AM57">
        <f t="shared" si="24"/>
        <v>300</v>
      </c>
    </row>
    <row r="58" spans="1:39" x14ac:dyDescent="0.35">
      <c r="A58">
        <v>3.2</v>
      </c>
      <c r="B58">
        <v>0</v>
      </c>
      <c r="C58">
        <v>0</v>
      </c>
      <c r="D58">
        <v>0</v>
      </c>
      <c r="E58">
        <v>0</v>
      </c>
      <c r="F58">
        <v>0</v>
      </c>
      <c r="G58">
        <f t="shared" si="22"/>
        <v>0</v>
      </c>
      <c r="H58">
        <f t="shared" si="23"/>
        <v>0</v>
      </c>
      <c r="I58">
        <v>0</v>
      </c>
      <c r="J58">
        <v>3.2</v>
      </c>
      <c r="K58">
        <v>0</v>
      </c>
      <c r="L58">
        <v>0</v>
      </c>
      <c r="M58">
        <v>0</v>
      </c>
      <c r="N58">
        <v>0</v>
      </c>
      <c r="O58">
        <v>0</v>
      </c>
      <c r="P58">
        <f t="shared" si="25"/>
        <v>0</v>
      </c>
      <c r="Q58">
        <f t="shared" si="21"/>
        <v>0</v>
      </c>
      <c r="S58">
        <v>3.2</v>
      </c>
      <c r="T58">
        <v>30</v>
      </c>
      <c r="U58">
        <v>30</v>
      </c>
      <c r="V58">
        <v>30</v>
      </c>
      <c r="W58">
        <v>30</v>
      </c>
      <c r="X58">
        <v>29</v>
      </c>
      <c r="Y58">
        <f t="shared" si="17"/>
        <v>149</v>
      </c>
      <c r="Z58">
        <f t="shared" si="18"/>
        <v>0</v>
      </c>
      <c r="AC58">
        <v>3.2</v>
      </c>
      <c r="AD58">
        <v>0</v>
      </c>
      <c r="AE58">
        <v>0</v>
      </c>
      <c r="AF58">
        <v>0</v>
      </c>
      <c r="AG58">
        <v>1</v>
      </c>
      <c r="AH58">
        <v>0</v>
      </c>
      <c r="AI58">
        <f t="shared" si="12"/>
        <v>1</v>
      </c>
      <c r="AJ58">
        <v>3.2</v>
      </c>
      <c r="AK58">
        <f t="shared" si="13"/>
        <v>149</v>
      </c>
      <c r="AL58">
        <f t="shared" si="14"/>
        <v>1</v>
      </c>
      <c r="AM58">
        <f t="shared" si="24"/>
        <v>301</v>
      </c>
    </row>
    <row r="59" spans="1:39" x14ac:dyDescent="0.35">
      <c r="A59">
        <v>3.4</v>
      </c>
      <c r="B59">
        <v>0</v>
      </c>
      <c r="C59">
        <v>0</v>
      </c>
      <c r="D59">
        <v>0</v>
      </c>
      <c r="E59">
        <v>0</v>
      </c>
      <c r="F59">
        <v>0</v>
      </c>
      <c r="G59">
        <f t="shared" si="22"/>
        <v>0</v>
      </c>
      <c r="H59">
        <f t="shared" si="23"/>
        <v>0</v>
      </c>
      <c r="I59">
        <v>0</v>
      </c>
      <c r="J59">
        <v>3.4</v>
      </c>
      <c r="K59">
        <v>0</v>
      </c>
      <c r="L59">
        <v>0</v>
      </c>
      <c r="M59">
        <v>0</v>
      </c>
      <c r="N59">
        <v>0</v>
      </c>
      <c r="O59">
        <v>0</v>
      </c>
      <c r="P59">
        <f t="shared" si="25"/>
        <v>0</v>
      </c>
      <c r="Q59">
        <f t="shared" si="21"/>
        <v>0</v>
      </c>
      <c r="S59">
        <v>3.4</v>
      </c>
      <c r="T59">
        <v>0</v>
      </c>
      <c r="U59">
        <v>2</v>
      </c>
      <c r="V59">
        <v>2</v>
      </c>
      <c r="W59">
        <v>1</v>
      </c>
      <c r="X59">
        <v>0</v>
      </c>
      <c r="Y59">
        <f t="shared" si="17"/>
        <v>5</v>
      </c>
      <c r="Z59">
        <f t="shared" si="18"/>
        <v>0</v>
      </c>
      <c r="AC59">
        <v>3.4</v>
      </c>
      <c r="AD59">
        <v>0</v>
      </c>
      <c r="AE59">
        <v>0</v>
      </c>
      <c r="AF59">
        <v>0</v>
      </c>
      <c r="AG59">
        <v>1</v>
      </c>
      <c r="AH59">
        <v>0</v>
      </c>
      <c r="AI59">
        <f t="shared" si="12"/>
        <v>1</v>
      </c>
      <c r="AJ59">
        <v>3.4</v>
      </c>
      <c r="AK59">
        <f t="shared" si="13"/>
        <v>5</v>
      </c>
      <c r="AL59">
        <f t="shared" si="14"/>
        <v>1</v>
      </c>
      <c r="AM59">
        <f t="shared" si="24"/>
        <v>445</v>
      </c>
    </row>
    <row r="60" spans="1:39" x14ac:dyDescent="0.35">
      <c r="A60">
        <v>3.6</v>
      </c>
      <c r="B60">
        <v>0</v>
      </c>
      <c r="C60">
        <v>0</v>
      </c>
      <c r="D60">
        <v>0</v>
      </c>
      <c r="E60">
        <v>0</v>
      </c>
      <c r="F60">
        <v>0</v>
      </c>
      <c r="G60">
        <f t="shared" si="22"/>
        <v>0</v>
      </c>
      <c r="H60">
        <f t="shared" si="23"/>
        <v>0</v>
      </c>
      <c r="I60">
        <v>0</v>
      </c>
      <c r="J60">
        <v>3.6</v>
      </c>
      <c r="K60">
        <v>0</v>
      </c>
      <c r="L60">
        <v>0</v>
      </c>
      <c r="M60">
        <v>0</v>
      </c>
      <c r="N60">
        <v>0</v>
      </c>
      <c r="O60">
        <v>0</v>
      </c>
      <c r="P60">
        <f t="shared" si="25"/>
        <v>0</v>
      </c>
      <c r="Q60">
        <f t="shared" si="21"/>
        <v>0</v>
      </c>
      <c r="S60">
        <v>3.6</v>
      </c>
      <c r="T60">
        <v>0</v>
      </c>
      <c r="U60">
        <v>0</v>
      </c>
      <c r="V60">
        <v>0</v>
      </c>
      <c r="W60">
        <v>0</v>
      </c>
      <c r="X60">
        <v>0</v>
      </c>
      <c r="Y60">
        <f t="shared" si="17"/>
        <v>0</v>
      </c>
      <c r="Z60">
        <f t="shared" si="18"/>
        <v>0</v>
      </c>
      <c r="AC60">
        <v>3.6</v>
      </c>
      <c r="AD60">
        <v>0</v>
      </c>
      <c r="AE60">
        <v>0</v>
      </c>
      <c r="AF60">
        <v>0</v>
      </c>
      <c r="AG60">
        <v>1</v>
      </c>
      <c r="AH60">
        <v>0</v>
      </c>
      <c r="AI60">
        <f t="shared" si="12"/>
        <v>1</v>
      </c>
      <c r="AJ60">
        <v>3.6</v>
      </c>
      <c r="AK60">
        <f t="shared" si="13"/>
        <v>0</v>
      </c>
      <c r="AL60">
        <f t="shared" si="14"/>
        <v>1</v>
      </c>
      <c r="AM60">
        <f t="shared" si="24"/>
        <v>450</v>
      </c>
    </row>
    <row r="61" spans="1:39" x14ac:dyDescent="0.35">
      <c r="A61">
        <v>3.8</v>
      </c>
      <c r="AC61">
        <v>3.8</v>
      </c>
      <c r="AD61">
        <v>0</v>
      </c>
      <c r="AE61">
        <v>0</v>
      </c>
      <c r="AF61">
        <v>0</v>
      </c>
      <c r="AG61">
        <v>1</v>
      </c>
      <c r="AH61">
        <v>0</v>
      </c>
      <c r="AI61">
        <f t="shared" si="12"/>
        <v>1</v>
      </c>
      <c r="AJ61">
        <v>3.8</v>
      </c>
      <c r="AK61">
        <f t="shared" si="13"/>
        <v>0</v>
      </c>
      <c r="AL61">
        <f t="shared" si="14"/>
        <v>1</v>
      </c>
      <c r="AM61">
        <f t="shared" si="24"/>
        <v>450</v>
      </c>
    </row>
    <row r="62" spans="1:39" x14ac:dyDescent="0.35">
      <c r="A62">
        <v>4</v>
      </c>
      <c r="AC62">
        <v>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f t="shared" si="12"/>
        <v>0</v>
      </c>
      <c r="AJ62">
        <v>4</v>
      </c>
      <c r="AK62">
        <f t="shared" si="13"/>
        <v>0</v>
      </c>
      <c r="AL62">
        <f t="shared" si="14"/>
        <v>0</v>
      </c>
      <c r="AM62">
        <f t="shared" si="24"/>
        <v>450</v>
      </c>
    </row>
  </sheetData>
  <mergeCells count="12">
    <mergeCell ref="A39:AM39"/>
    <mergeCell ref="A40:H40"/>
    <mergeCell ref="J40:Q40"/>
    <mergeCell ref="S40:Z40"/>
    <mergeCell ref="AC40:AI40"/>
    <mergeCell ref="AJ40:AM40"/>
    <mergeCell ref="A1:AM1"/>
    <mergeCell ref="A2:H2"/>
    <mergeCell ref="J2:Q2"/>
    <mergeCell ref="S2:Z2"/>
    <mergeCell ref="AC2:AI2"/>
    <mergeCell ref="AJ2:A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Rafi Islam</dc:creator>
  <cp:lastModifiedBy>Md. Rafi Islam</cp:lastModifiedBy>
  <dcterms:created xsi:type="dcterms:W3CDTF">2025-12-16T05:21:40Z</dcterms:created>
  <dcterms:modified xsi:type="dcterms:W3CDTF">2025-12-18T05:16:48Z</dcterms:modified>
</cp:coreProperties>
</file>