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d_ra\Box Sync\PhD\Friends\Paper\Professor\Final code\LIFECYCLE VALIDATION\"/>
    </mc:Choice>
  </mc:AlternateContent>
  <xr:revisionPtr revIDLastSave="0" documentId="13_ncr:1_{F0E353FA-D17C-486E-A620-E29612D0273E}" xr6:coauthVersionLast="47" xr6:coauthVersionMax="47" xr10:uidLastSave="{00000000-0000-0000-0000-000000000000}"/>
  <bookViews>
    <workbookView xWindow="-28800" yWindow="0" windowWidth="14400" windowHeight="15600" tabRatio="565" activeTab="2" xr2:uid="{00000000-000D-0000-FFFF-FFFF00000000}"/>
  </bookViews>
  <sheets>
    <sheet name="Data Summary" sheetId="1" r:id="rId1"/>
    <sheet name="CI Method" sheetId="2" r:id="rId2"/>
    <sheet name="All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16" i="3" l="1"/>
  <c r="O215" i="3"/>
  <c r="O214" i="3"/>
  <c r="O213" i="3"/>
  <c r="O212" i="3"/>
  <c r="O211" i="3"/>
  <c r="E21" i="1"/>
  <c r="R13" i="2"/>
  <c r="R12" i="2"/>
  <c r="E26" i="1"/>
  <c r="E8" i="1"/>
  <c r="N89" i="3"/>
  <c r="O89" i="3"/>
  <c r="V21" i="1"/>
  <c r="V22" i="1"/>
  <c r="C24" i="2" s="1"/>
  <c r="W22" i="1"/>
  <c r="M22" i="1" s="1" a="1"/>
  <c r="J24" i="2" s="1"/>
  <c r="U22" i="1"/>
  <c r="N22" i="1" s="1" a="1"/>
  <c r="K24" i="2" s="1"/>
  <c r="J22" i="1"/>
  <c r="F24" i="2" s="1"/>
  <c r="W16" i="1"/>
  <c r="M16" i="1" s="1"/>
  <c r="V16" i="1"/>
  <c r="J16" i="1" s="1"/>
  <c r="U16" i="1"/>
  <c r="B18" i="2" s="1"/>
  <c r="M18" i="2" s="1"/>
  <c r="N30" i="2"/>
  <c r="N29" i="2"/>
  <c r="N28" i="2"/>
  <c r="N27" i="2"/>
  <c r="N26" i="2"/>
  <c r="N25" i="2"/>
  <c r="N24" i="2"/>
  <c r="P23" i="2"/>
  <c r="N23" i="2"/>
  <c r="N22" i="2"/>
  <c r="N21" i="2"/>
  <c r="N20" i="2"/>
  <c r="N19" i="2"/>
  <c r="N18" i="2"/>
  <c r="N17" i="2"/>
  <c r="N16" i="2"/>
  <c r="N15" i="2"/>
  <c r="P14" i="2"/>
  <c r="N14" i="2"/>
  <c r="N13" i="2"/>
  <c r="N12" i="2"/>
  <c r="N11" i="2"/>
  <c r="N10" i="2"/>
  <c r="P9" i="2"/>
  <c r="N9" i="2"/>
  <c r="N8" i="2"/>
  <c r="N7" i="2"/>
  <c r="N6" i="2"/>
  <c r="N5" i="2"/>
  <c r="O46" i="3"/>
  <c r="N46" i="3"/>
  <c r="M46" i="3"/>
  <c r="O45" i="3"/>
  <c r="P24" i="2" s="1"/>
  <c r="N61" i="3"/>
  <c r="M61" i="3"/>
  <c r="O60" i="3"/>
  <c r="O61" i="3" s="1"/>
  <c r="O209" i="3"/>
  <c r="O208" i="3"/>
  <c r="O207" i="3"/>
  <c r="O206" i="3"/>
  <c r="O205" i="3"/>
  <c r="O204" i="3"/>
  <c r="O203" i="3"/>
  <c r="O202" i="3"/>
  <c r="R30" i="2" s="1"/>
  <c r="O200" i="3"/>
  <c r="O199" i="3"/>
  <c r="P29" i="2" s="1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R29" i="2" s="1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R26" i="2" s="1"/>
  <c r="O168" i="3"/>
  <c r="O167" i="3"/>
  <c r="O166" i="3"/>
  <c r="O165" i="3"/>
  <c r="P25" i="2" s="1"/>
  <c r="O164" i="3"/>
  <c r="O163" i="3"/>
  <c r="R25" i="2" s="1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R22" i="2" s="1"/>
  <c r="O147" i="3"/>
  <c r="O146" i="3"/>
  <c r="O145" i="3"/>
  <c r="O144" i="3"/>
  <c r="O143" i="3"/>
  <c r="O142" i="3"/>
  <c r="O141" i="3"/>
  <c r="O140" i="3"/>
  <c r="O139" i="3"/>
  <c r="O138" i="3"/>
  <c r="O137" i="3"/>
  <c r="P22" i="2" s="1"/>
  <c r="O135" i="3"/>
  <c r="O134" i="3"/>
  <c r="O133" i="3"/>
  <c r="O132" i="3"/>
  <c r="O131" i="3"/>
  <c r="R21" i="2" s="1"/>
  <c r="O130" i="3"/>
  <c r="O129" i="3"/>
  <c r="O128" i="3"/>
  <c r="O127" i="3"/>
  <c r="O126" i="3"/>
  <c r="O125" i="3"/>
  <c r="P21" i="2" s="1"/>
  <c r="O123" i="3"/>
  <c r="O122" i="3"/>
  <c r="O121" i="3"/>
  <c r="O120" i="3"/>
  <c r="O119" i="3"/>
  <c r="O118" i="3"/>
  <c r="O117" i="3"/>
  <c r="O116" i="3"/>
  <c r="O115" i="3"/>
  <c r="P17" i="2" s="1"/>
  <c r="O113" i="3"/>
  <c r="O112" i="3"/>
  <c r="O111" i="3"/>
  <c r="O110" i="3"/>
  <c r="O109" i="3"/>
  <c r="R15" i="2" s="1"/>
  <c r="O107" i="3"/>
  <c r="O106" i="3"/>
  <c r="O105" i="3"/>
  <c r="R14" i="2" s="1"/>
  <c r="O103" i="3"/>
  <c r="O102" i="3"/>
  <c r="O101" i="3"/>
  <c r="O100" i="3"/>
  <c r="O99" i="3"/>
  <c r="O98" i="3"/>
  <c r="O97" i="3"/>
  <c r="O96" i="3"/>
  <c r="P13" i="2" s="1"/>
  <c r="O94" i="3"/>
  <c r="O93" i="3"/>
  <c r="O92" i="3"/>
  <c r="O91" i="3"/>
  <c r="O90" i="3"/>
  <c r="P11" i="2" s="1"/>
  <c r="O88" i="3"/>
  <c r="O87" i="3"/>
  <c r="O86" i="3"/>
  <c r="P8" i="2" s="1"/>
  <c r="O85" i="3"/>
  <c r="O84" i="3"/>
  <c r="R8" i="2" s="1"/>
  <c r="O82" i="3"/>
  <c r="O81" i="3"/>
  <c r="O80" i="3"/>
  <c r="O79" i="3"/>
  <c r="O78" i="3"/>
  <c r="O77" i="3"/>
  <c r="O76" i="3"/>
  <c r="R6" i="2" s="1"/>
  <c r="O74" i="3"/>
  <c r="O73" i="3"/>
  <c r="O72" i="3"/>
  <c r="O71" i="3"/>
  <c r="O70" i="3"/>
  <c r="O69" i="3"/>
  <c r="O68" i="3"/>
  <c r="O67" i="3"/>
  <c r="O66" i="3"/>
  <c r="O65" i="3"/>
  <c r="O64" i="3"/>
  <c r="O75" i="3" s="1"/>
  <c r="O58" i="3"/>
  <c r="O59" i="3" s="1"/>
  <c r="O56" i="3"/>
  <c r="O55" i="3"/>
  <c r="O54" i="3"/>
  <c r="O57" i="3" s="1"/>
  <c r="O52" i="3"/>
  <c r="O51" i="3"/>
  <c r="O50" i="3"/>
  <c r="O49" i="3"/>
  <c r="O48" i="3"/>
  <c r="O47" i="3"/>
  <c r="P19" i="2" s="1"/>
  <c r="O43" i="3"/>
  <c r="O42" i="3"/>
  <c r="O41" i="3"/>
  <c r="O40" i="3"/>
  <c r="O39" i="3"/>
  <c r="P7" i="2" s="1"/>
  <c r="O37" i="3"/>
  <c r="O36" i="3"/>
  <c r="O35" i="3"/>
  <c r="O34" i="3"/>
  <c r="O33" i="3"/>
  <c r="O32" i="3"/>
  <c r="O31" i="3"/>
  <c r="O38" i="3" s="1"/>
  <c r="O29" i="3"/>
  <c r="O28" i="3"/>
  <c r="O27" i="3"/>
  <c r="O26" i="3"/>
  <c r="O25" i="3"/>
  <c r="O24" i="3"/>
  <c r="R20" i="2" s="1"/>
  <c r="O17" i="3"/>
  <c r="O18" i="3"/>
  <c r="O19" i="3"/>
  <c r="O20" i="3"/>
  <c r="O21" i="3"/>
  <c r="O22" i="3"/>
  <c r="O16" i="3"/>
  <c r="P28" i="2" s="1"/>
  <c r="O11" i="3"/>
  <c r="O12" i="3"/>
  <c r="O13" i="3"/>
  <c r="O14" i="3"/>
  <c r="O10" i="3"/>
  <c r="P12" i="2" s="1"/>
  <c r="O4" i="3"/>
  <c r="O5" i="3"/>
  <c r="O6" i="3"/>
  <c r="O7" i="3"/>
  <c r="O8" i="3"/>
  <c r="O3" i="3"/>
  <c r="R9" i="2" s="1"/>
  <c r="N217" i="3"/>
  <c r="M217" i="3"/>
  <c r="N210" i="3"/>
  <c r="M210" i="3"/>
  <c r="N201" i="3"/>
  <c r="M201" i="3"/>
  <c r="N185" i="3"/>
  <c r="M185" i="3"/>
  <c r="N169" i="3"/>
  <c r="M169" i="3"/>
  <c r="N162" i="3"/>
  <c r="M162" i="3"/>
  <c r="N136" i="3"/>
  <c r="M136" i="3"/>
  <c r="N124" i="3"/>
  <c r="M124" i="3"/>
  <c r="N114" i="3"/>
  <c r="M114" i="3"/>
  <c r="O108" i="3"/>
  <c r="N108" i="3"/>
  <c r="M108" i="3"/>
  <c r="N104" i="3"/>
  <c r="M104" i="3"/>
  <c r="N95" i="3"/>
  <c r="M95" i="3"/>
  <c r="M89" i="3"/>
  <c r="N83" i="3"/>
  <c r="M83" i="3"/>
  <c r="N75" i="3"/>
  <c r="M75" i="3"/>
  <c r="N59" i="3"/>
  <c r="M59" i="3"/>
  <c r="N57" i="3"/>
  <c r="M57" i="3"/>
  <c r="N53" i="3"/>
  <c r="M53" i="3"/>
  <c r="N44" i="3"/>
  <c r="M44" i="3"/>
  <c r="N38" i="3"/>
  <c r="M38" i="3"/>
  <c r="N30" i="3"/>
  <c r="M30" i="3"/>
  <c r="N23" i="3"/>
  <c r="M23" i="3"/>
  <c r="N15" i="3"/>
  <c r="M15" i="3"/>
  <c r="N9" i="3"/>
  <c r="M9" i="3"/>
  <c r="L24" i="2"/>
  <c r="H24" i="2"/>
  <c r="E24" i="2"/>
  <c r="D24" i="2"/>
  <c r="L18" i="2"/>
  <c r="H18" i="2"/>
  <c r="E18" i="2"/>
  <c r="D18" i="2"/>
  <c r="O217" i="3" l="1"/>
  <c r="R27" i="2"/>
  <c r="P27" i="2"/>
  <c r="P5" i="2"/>
  <c r="P10" i="2"/>
  <c r="P15" i="2"/>
  <c r="R23" i="2"/>
  <c r="P30" i="2"/>
  <c r="R5" i="2"/>
  <c r="P16" i="2"/>
  <c r="P6" i="2"/>
  <c r="R16" i="2"/>
  <c r="R24" i="2"/>
  <c r="O44" i="3"/>
  <c r="P26" i="2"/>
  <c r="R17" i="2"/>
  <c r="R7" i="2"/>
  <c r="O23" i="3"/>
  <c r="O210" i="3"/>
  <c r="R18" i="2"/>
  <c r="S18" i="2" a="1"/>
  <c r="S18" i="2" s="1"/>
  <c r="R19" i="2"/>
  <c r="O83" i="3"/>
  <c r="O53" i="3"/>
  <c r="O95" i="3"/>
  <c r="P18" i="2"/>
  <c r="R10" i="2"/>
  <c r="R28" i="2"/>
  <c r="O114" i="3"/>
  <c r="R11" i="2"/>
  <c r="O169" i="3"/>
  <c r="O15" i="3"/>
  <c r="P20" i="2"/>
  <c r="K22" i="1" a="1"/>
  <c r="G24" i="2" s="1"/>
  <c r="B24" i="2"/>
  <c r="S24" i="2" s="1" a="1"/>
  <c r="S24" i="2" s="1"/>
  <c r="N16" i="1"/>
  <c r="K18" i="2" s="1"/>
  <c r="J18" i="2"/>
  <c r="F18" i="2"/>
  <c r="K16" i="1"/>
  <c r="G18" i="2" s="1"/>
  <c r="O18" i="2" a="1"/>
  <c r="C18" i="2"/>
  <c r="I18" i="2"/>
  <c r="Q18" i="2" a="1"/>
  <c r="O201" i="3"/>
  <c r="O185" i="3"/>
  <c r="O162" i="3"/>
  <c r="O136" i="3"/>
  <c r="O124" i="3"/>
  <c r="O104" i="3"/>
  <c r="O30" i="3"/>
  <c r="O9" i="3"/>
  <c r="I24" i="2" l="1"/>
  <c r="Q24" i="2" a="1"/>
  <c r="O24" i="2" a="1"/>
  <c r="M24" i="2"/>
  <c r="J217" i="3"/>
  <c r="I217" i="3"/>
  <c r="C217" i="3"/>
  <c r="K216" i="3"/>
  <c r="E216" i="3"/>
  <c r="L216" i="3" s="1"/>
  <c r="K215" i="3"/>
  <c r="E215" i="3"/>
  <c r="L215" i="3" s="1"/>
  <c r="K214" i="3"/>
  <c r="E214" i="3"/>
  <c r="L214" i="3" s="1"/>
  <c r="K213" i="3"/>
  <c r="E213" i="3"/>
  <c r="L213" i="3" s="1"/>
  <c r="K212" i="3"/>
  <c r="E212" i="3"/>
  <c r="K211" i="3"/>
  <c r="E211" i="3"/>
  <c r="L211" i="3" s="1"/>
  <c r="J210" i="3"/>
  <c r="I210" i="3"/>
  <c r="C210" i="3"/>
  <c r="K209" i="3"/>
  <c r="E209" i="3"/>
  <c r="L209" i="3" s="1"/>
  <c r="L208" i="3"/>
  <c r="K208" i="3"/>
  <c r="E208" i="3"/>
  <c r="K207" i="3"/>
  <c r="E207" i="3"/>
  <c r="L207" i="3" s="1"/>
  <c r="K206" i="3"/>
  <c r="E206" i="3"/>
  <c r="L206" i="3" s="1"/>
  <c r="K205" i="3"/>
  <c r="E205" i="3"/>
  <c r="L205" i="3" s="1"/>
  <c r="K204" i="3"/>
  <c r="E204" i="3"/>
  <c r="L204" i="3" s="1"/>
  <c r="K203" i="3"/>
  <c r="E203" i="3"/>
  <c r="L203" i="3" s="1"/>
  <c r="K202" i="3"/>
  <c r="E202" i="3"/>
  <c r="L202" i="3" s="1"/>
  <c r="J201" i="3"/>
  <c r="I201" i="3"/>
  <c r="C201" i="3"/>
  <c r="K200" i="3"/>
  <c r="E200" i="3"/>
  <c r="L200" i="3" s="1"/>
  <c r="K199" i="3"/>
  <c r="E199" i="3"/>
  <c r="L199" i="3" s="1"/>
  <c r="K198" i="3"/>
  <c r="E198" i="3"/>
  <c r="L198" i="3" s="1"/>
  <c r="K197" i="3"/>
  <c r="E197" i="3"/>
  <c r="L197" i="3" s="1"/>
  <c r="K196" i="3"/>
  <c r="E196" i="3"/>
  <c r="L196" i="3" s="1"/>
  <c r="K195" i="3"/>
  <c r="E195" i="3"/>
  <c r="L195" i="3" s="1"/>
  <c r="K194" i="3"/>
  <c r="E194" i="3"/>
  <c r="L194" i="3" s="1"/>
  <c r="K193" i="3"/>
  <c r="E193" i="3"/>
  <c r="L193" i="3" s="1"/>
  <c r="K192" i="3"/>
  <c r="E192" i="3"/>
  <c r="L192" i="3" s="1"/>
  <c r="K191" i="3"/>
  <c r="E191" i="3"/>
  <c r="L191" i="3" s="1"/>
  <c r="K190" i="3"/>
  <c r="E190" i="3"/>
  <c r="L190" i="3" s="1"/>
  <c r="K189" i="3"/>
  <c r="E189" i="3"/>
  <c r="L189" i="3" s="1"/>
  <c r="K188" i="3"/>
  <c r="E188" i="3"/>
  <c r="L188" i="3" s="1"/>
  <c r="K187" i="3"/>
  <c r="E187" i="3"/>
  <c r="L187" i="3" s="1"/>
  <c r="K186" i="3"/>
  <c r="E186" i="3"/>
  <c r="L186" i="3" s="1"/>
  <c r="J185" i="3"/>
  <c r="I185" i="3"/>
  <c r="C185" i="3"/>
  <c r="L184" i="3"/>
  <c r="K184" i="3"/>
  <c r="E184" i="3"/>
  <c r="K183" i="3"/>
  <c r="E183" i="3"/>
  <c r="L183" i="3" s="1"/>
  <c r="K182" i="3"/>
  <c r="E182" i="3"/>
  <c r="L182" i="3" s="1"/>
  <c r="K181" i="3"/>
  <c r="E181" i="3"/>
  <c r="L181" i="3" s="1"/>
  <c r="K180" i="3"/>
  <c r="E180" i="3"/>
  <c r="L180" i="3" s="1"/>
  <c r="K179" i="3"/>
  <c r="E179" i="3"/>
  <c r="L179" i="3" s="1"/>
  <c r="K178" i="3"/>
  <c r="E178" i="3"/>
  <c r="L178" i="3" s="1"/>
  <c r="K177" i="3"/>
  <c r="E177" i="3"/>
  <c r="L177" i="3" s="1"/>
  <c r="K176" i="3"/>
  <c r="E176" i="3"/>
  <c r="L176" i="3" s="1"/>
  <c r="L175" i="3"/>
  <c r="K175" i="3"/>
  <c r="E175" i="3"/>
  <c r="K174" i="3"/>
  <c r="E174" i="3"/>
  <c r="L174" i="3" s="1"/>
  <c r="K173" i="3"/>
  <c r="E173" i="3"/>
  <c r="L173" i="3" s="1"/>
  <c r="K172" i="3"/>
  <c r="E172" i="3"/>
  <c r="K171" i="3"/>
  <c r="E171" i="3"/>
  <c r="L171" i="3" s="1"/>
  <c r="L170" i="3"/>
  <c r="K170" i="3"/>
  <c r="E170" i="3"/>
  <c r="J169" i="3"/>
  <c r="I169" i="3"/>
  <c r="E169" i="3"/>
  <c r="C169" i="3"/>
  <c r="K168" i="3"/>
  <c r="E168" i="3"/>
  <c r="L168" i="3" s="1"/>
  <c r="K167" i="3"/>
  <c r="E167" i="3"/>
  <c r="L167" i="3" s="1"/>
  <c r="K166" i="3"/>
  <c r="E166" i="3"/>
  <c r="L166" i="3" s="1"/>
  <c r="L165" i="3"/>
  <c r="K165" i="3"/>
  <c r="E165" i="3"/>
  <c r="K164" i="3"/>
  <c r="E164" i="3"/>
  <c r="L164" i="3" s="1"/>
  <c r="K163" i="3"/>
  <c r="E163" i="3"/>
  <c r="L163" i="3" s="1"/>
  <c r="J162" i="3"/>
  <c r="I162" i="3"/>
  <c r="C162" i="3"/>
  <c r="K161" i="3"/>
  <c r="E161" i="3"/>
  <c r="L161" i="3" s="1"/>
  <c r="K160" i="3"/>
  <c r="E160" i="3"/>
  <c r="L160" i="3" s="1"/>
  <c r="K159" i="3"/>
  <c r="E159" i="3"/>
  <c r="L159" i="3" s="1"/>
  <c r="K158" i="3"/>
  <c r="E158" i="3"/>
  <c r="L158" i="3" s="1"/>
  <c r="K157" i="3"/>
  <c r="E157" i="3"/>
  <c r="L157" i="3" s="1"/>
  <c r="K156" i="3"/>
  <c r="E156" i="3"/>
  <c r="L156" i="3" s="1"/>
  <c r="K155" i="3"/>
  <c r="E155" i="3"/>
  <c r="K154" i="3"/>
  <c r="E154" i="3"/>
  <c r="L154" i="3" s="1"/>
  <c r="L153" i="3"/>
  <c r="K153" i="3"/>
  <c r="E153" i="3"/>
  <c r="K152" i="3"/>
  <c r="E152" i="3"/>
  <c r="L152" i="3" s="1"/>
  <c r="K151" i="3"/>
  <c r="E151" i="3"/>
  <c r="L151" i="3" s="1"/>
  <c r="K150" i="3"/>
  <c r="E150" i="3"/>
  <c r="L150" i="3" s="1"/>
  <c r="L149" i="3"/>
  <c r="K149" i="3"/>
  <c r="E149" i="3"/>
  <c r="K148" i="3"/>
  <c r="E148" i="3"/>
  <c r="L148" i="3" s="1"/>
  <c r="K147" i="3"/>
  <c r="E147" i="3"/>
  <c r="L147" i="3" s="1"/>
  <c r="K146" i="3"/>
  <c r="E146" i="3"/>
  <c r="L146" i="3" s="1"/>
  <c r="K145" i="3"/>
  <c r="E145" i="3"/>
  <c r="L145" i="3" s="1"/>
  <c r="K144" i="3"/>
  <c r="E144" i="3"/>
  <c r="L144" i="3" s="1"/>
  <c r="K143" i="3"/>
  <c r="E143" i="3"/>
  <c r="L143" i="3" s="1"/>
  <c r="K142" i="3"/>
  <c r="E142" i="3"/>
  <c r="L142" i="3" s="1"/>
  <c r="L141" i="3"/>
  <c r="K141" i="3"/>
  <c r="E141" i="3"/>
  <c r="K140" i="3"/>
  <c r="E140" i="3"/>
  <c r="L140" i="3" s="1"/>
  <c r="K139" i="3"/>
  <c r="E139" i="3"/>
  <c r="L139" i="3" s="1"/>
  <c r="K138" i="3"/>
  <c r="E138" i="3"/>
  <c r="L138" i="3" s="1"/>
  <c r="K137" i="3"/>
  <c r="E137" i="3"/>
  <c r="J136" i="3"/>
  <c r="I136" i="3"/>
  <c r="C136" i="3"/>
  <c r="K135" i="3"/>
  <c r="E135" i="3"/>
  <c r="L135" i="3" s="1"/>
  <c r="K134" i="3"/>
  <c r="E134" i="3"/>
  <c r="L134" i="3" s="1"/>
  <c r="K133" i="3"/>
  <c r="E133" i="3"/>
  <c r="L133" i="3" s="1"/>
  <c r="K132" i="3"/>
  <c r="E132" i="3"/>
  <c r="L132" i="3" s="1"/>
  <c r="L131" i="3"/>
  <c r="K131" i="3"/>
  <c r="E131" i="3"/>
  <c r="K130" i="3"/>
  <c r="E130" i="3"/>
  <c r="L130" i="3" s="1"/>
  <c r="L129" i="3"/>
  <c r="K129" i="3"/>
  <c r="E129" i="3"/>
  <c r="K128" i="3"/>
  <c r="E128" i="3"/>
  <c r="L128" i="3" s="1"/>
  <c r="K127" i="3"/>
  <c r="E127" i="3"/>
  <c r="K126" i="3"/>
  <c r="E126" i="3"/>
  <c r="L126" i="3" s="1"/>
  <c r="K125" i="3"/>
  <c r="E125" i="3"/>
  <c r="L125" i="3" s="1"/>
  <c r="J124" i="3"/>
  <c r="I124" i="3"/>
  <c r="C124" i="3"/>
  <c r="K123" i="3"/>
  <c r="E123" i="3"/>
  <c r="L123" i="3" s="1"/>
  <c r="L122" i="3"/>
  <c r="K122" i="3"/>
  <c r="E122" i="3"/>
  <c r="L121" i="3"/>
  <c r="K121" i="3"/>
  <c r="E121" i="3"/>
  <c r="K120" i="3"/>
  <c r="E120" i="3"/>
  <c r="L120" i="3" s="1"/>
  <c r="K119" i="3"/>
  <c r="E119" i="3"/>
  <c r="L119" i="3" s="1"/>
  <c r="L118" i="3"/>
  <c r="K118" i="3"/>
  <c r="E118" i="3"/>
  <c r="K117" i="3"/>
  <c r="E117" i="3"/>
  <c r="L117" i="3" s="1"/>
  <c r="K116" i="3"/>
  <c r="E116" i="3"/>
  <c r="L116" i="3" s="1"/>
  <c r="K115" i="3"/>
  <c r="E115" i="3"/>
  <c r="L115" i="3" s="1"/>
  <c r="J114" i="3"/>
  <c r="I114" i="3"/>
  <c r="C114" i="3"/>
  <c r="K113" i="3"/>
  <c r="E113" i="3"/>
  <c r="L113" i="3" s="1"/>
  <c r="K112" i="3"/>
  <c r="E112" i="3"/>
  <c r="L112" i="3" s="1"/>
  <c r="K111" i="3"/>
  <c r="E111" i="3"/>
  <c r="K110" i="3"/>
  <c r="E110" i="3"/>
  <c r="K109" i="3"/>
  <c r="E109" i="3"/>
  <c r="L109" i="3" s="1"/>
  <c r="J108" i="3"/>
  <c r="I108" i="3"/>
  <c r="C108" i="3"/>
  <c r="K107" i="3"/>
  <c r="E107" i="3"/>
  <c r="L107" i="3" s="1"/>
  <c r="K106" i="3"/>
  <c r="E106" i="3"/>
  <c r="L106" i="3" s="1"/>
  <c r="K105" i="3"/>
  <c r="E105" i="3"/>
  <c r="L105" i="3" s="1"/>
  <c r="J104" i="3"/>
  <c r="I104" i="3"/>
  <c r="C104" i="3"/>
  <c r="L103" i="3"/>
  <c r="K103" i="3"/>
  <c r="E103" i="3"/>
  <c r="K102" i="3"/>
  <c r="E102" i="3"/>
  <c r="L102" i="3" s="1"/>
  <c r="K101" i="3"/>
  <c r="E101" i="3"/>
  <c r="L101" i="3" s="1"/>
  <c r="K100" i="3"/>
  <c r="E100" i="3"/>
  <c r="L100" i="3" s="1"/>
  <c r="K99" i="3"/>
  <c r="E99" i="3"/>
  <c r="L99" i="3" s="1"/>
  <c r="L98" i="3"/>
  <c r="K98" i="3"/>
  <c r="E98" i="3"/>
  <c r="K97" i="3"/>
  <c r="E97" i="3"/>
  <c r="E104" i="3" s="1"/>
  <c r="L96" i="3"/>
  <c r="K96" i="3"/>
  <c r="E96" i="3"/>
  <c r="J95" i="3"/>
  <c r="I95" i="3"/>
  <c r="C95" i="3"/>
  <c r="K94" i="3"/>
  <c r="E94" i="3"/>
  <c r="L94" i="3" s="1"/>
  <c r="K93" i="3"/>
  <c r="E93" i="3"/>
  <c r="K92" i="3"/>
  <c r="E92" i="3"/>
  <c r="L92" i="3" s="1"/>
  <c r="K91" i="3"/>
  <c r="E91" i="3"/>
  <c r="L91" i="3" s="1"/>
  <c r="K90" i="3"/>
  <c r="E90" i="3"/>
  <c r="L90" i="3" s="1"/>
  <c r="J89" i="3"/>
  <c r="I89" i="3"/>
  <c r="C89" i="3"/>
  <c r="K88" i="3"/>
  <c r="E88" i="3"/>
  <c r="L88" i="3" s="1"/>
  <c r="K87" i="3"/>
  <c r="E87" i="3"/>
  <c r="L87" i="3" s="1"/>
  <c r="K86" i="3"/>
  <c r="E86" i="3"/>
  <c r="L86" i="3" s="1"/>
  <c r="L85" i="3"/>
  <c r="K85" i="3"/>
  <c r="E85" i="3"/>
  <c r="K84" i="3"/>
  <c r="E84" i="3"/>
  <c r="L84" i="3" s="1"/>
  <c r="J83" i="3"/>
  <c r="I83" i="3"/>
  <c r="C83" i="3"/>
  <c r="K82" i="3"/>
  <c r="E82" i="3"/>
  <c r="L82" i="3" s="1"/>
  <c r="K81" i="3"/>
  <c r="E81" i="3"/>
  <c r="L81" i="3" s="1"/>
  <c r="K80" i="3"/>
  <c r="E80" i="3"/>
  <c r="L80" i="3" s="1"/>
  <c r="K79" i="3"/>
  <c r="E79" i="3"/>
  <c r="L79" i="3" s="1"/>
  <c r="K78" i="3"/>
  <c r="E78" i="3"/>
  <c r="L78" i="3" s="1"/>
  <c r="K77" i="3"/>
  <c r="E77" i="3"/>
  <c r="L77" i="3" s="1"/>
  <c r="K76" i="3"/>
  <c r="E76" i="3"/>
  <c r="L76" i="3" s="1"/>
  <c r="J75" i="3"/>
  <c r="I75" i="3"/>
  <c r="C75" i="3"/>
  <c r="K74" i="3"/>
  <c r="E74" i="3"/>
  <c r="L74" i="3" s="1"/>
  <c r="K73" i="3"/>
  <c r="E73" i="3"/>
  <c r="L73" i="3" s="1"/>
  <c r="K72" i="3"/>
  <c r="E72" i="3"/>
  <c r="L72" i="3" s="1"/>
  <c r="K71" i="3"/>
  <c r="E71" i="3"/>
  <c r="L71" i="3" s="1"/>
  <c r="L70" i="3"/>
  <c r="K70" i="3"/>
  <c r="E70" i="3"/>
  <c r="K69" i="3"/>
  <c r="E69" i="3"/>
  <c r="L69" i="3" s="1"/>
  <c r="K68" i="3"/>
  <c r="E68" i="3"/>
  <c r="K67" i="3"/>
  <c r="E67" i="3"/>
  <c r="L67" i="3" s="1"/>
  <c r="K66" i="3"/>
  <c r="E66" i="3"/>
  <c r="L66" i="3" s="1"/>
  <c r="K65" i="3"/>
  <c r="E65" i="3"/>
  <c r="K64" i="3"/>
  <c r="E64" i="3"/>
  <c r="L64" i="3" s="1"/>
  <c r="J61" i="3"/>
  <c r="I61" i="3"/>
  <c r="E61" i="3"/>
  <c r="C61" i="3"/>
  <c r="J59" i="3"/>
  <c r="I59" i="3"/>
  <c r="C59" i="3"/>
  <c r="E58" i="3"/>
  <c r="E59" i="3" s="1"/>
  <c r="J57" i="3"/>
  <c r="I57" i="3"/>
  <c r="C57" i="3"/>
  <c r="K56" i="3"/>
  <c r="E56" i="3"/>
  <c r="L56" i="3" s="1"/>
  <c r="K55" i="3"/>
  <c r="E55" i="3"/>
  <c r="L55" i="3" s="1"/>
  <c r="K54" i="3"/>
  <c r="E54" i="3"/>
  <c r="L54" i="3" s="1"/>
  <c r="J53" i="3"/>
  <c r="I53" i="3"/>
  <c r="C53" i="3"/>
  <c r="K52" i="3"/>
  <c r="E52" i="3"/>
  <c r="L52" i="3" s="1"/>
  <c r="K51" i="3"/>
  <c r="E51" i="3"/>
  <c r="L51" i="3" s="1"/>
  <c r="K50" i="3"/>
  <c r="E50" i="3"/>
  <c r="L50" i="3" s="1"/>
  <c r="K49" i="3"/>
  <c r="E49" i="3"/>
  <c r="L49" i="3" s="1"/>
  <c r="K48" i="3"/>
  <c r="E48" i="3"/>
  <c r="L48" i="3" s="1"/>
  <c r="K47" i="3"/>
  <c r="E47" i="3"/>
  <c r="W17" i="1" s="1"/>
  <c r="M17" i="1" s="1"/>
  <c r="J46" i="3"/>
  <c r="I46" i="3"/>
  <c r="E46" i="3"/>
  <c r="C46" i="3"/>
  <c r="J44" i="3"/>
  <c r="I44" i="3"/>
  <c r="C44" i="3"/>
  <c r="K43" i="3"/>
  <c r="E43" i="3"/>
  <c r="L43" i="3" s="1"/>
  <c r="K42" i="3"/>
  <c r="E42" i="3"/>
  <c r="L42" i="3" s="1"/>
  <c r="K41" i="3"/>
  <c r="E41" i="3"/>
  <c r="L41" i="3" s="1"/>
  <c r="K40" i="3"/>
  <c r="E40" i="3"/>
  <c r="L7" i="2" s="1"/>
  <c r="K39" i="3"/>
  <c r="E39" i="3"/>
  <c r="L39" i="3" s="1"/>
  <c r="J38" i="3"/>
  <c r="I38" i="3"/>
  <c r="C38" i="3"/>
  <c r="K37" i="3"/>
  <c r="E37" i="3"/>
  <c r="L37" i="3" s="1"/>
  <c r="L36" i="3"/>
  <c r="K36" i="3"/>
  <c r="L35" i="3"/>
  <c r="K35" i="3"/>
  <c r="E35" i="3"/>
  <c r="K34" i="3"/>
  <c r="E34" i="3"/>
  <c r="L34" i="3" s="1"/>
  <c r="K33" i="3"/>
  <c r="E33" i="3"/>
  <c r="L33" i="3" s="1"/>
  <c r="K32" i="3"/>
  <c r="E32" i="3"/>
  <c r="L32" i="3" s="1"/>
  <c r="K31" i="3"/>
  <c r="E31" i="3"/>
  <c r="L31" i="3" s="1"/>
  <c r="J30" i="3"/>
  <c r="I30" i="3"/>
  <c r="C30" i="3"/>
  <c r="K29" i="3"/>
  <c r="E29" i="3"/>
  <c r="L29" i="3" s="1"/>
  <c r="K28" i="3"/>
  <c r="E28" i="3"/>
  <c r="L28" i="3" s="1"/>
  <c r="K27" i="3"/>
  <c r="E27" i="3"/>
  <c r="L27" i="3" s="1"/>
  <c r="L26" i="3"/>
  <c r="K26" i="3"/>
  <c r="E26" i="3"/>
  <c r="K25" i="3"/>
  <c r="E25" i="3"/>
  <c r="L25" i="3" s="1"/>
  <c r="K24" i="3"/>
  <c r="E24" i="3"/>
  <c r="J23" i="3"/>
  <c r="I23" i="3"/>
  <c r="C23" i="3"/>
  <c r="L22" i="3"/>
  <c r="K22" i="3"/>
  <c r="E22" i="3"/>
  <c r="L21" i="3"/>
  <c r="K21" i="3"/>
  <c r="K20" i="3"/>
  <c r="E20" i="3"/>
  <c r="L20" i="3" s="1"/>
  <c r="K19" i="3"/>
  <c r="E19" i="3"/>
  <c r="L19" i="3" s="1"/>
  <c r="K18" i="3"/>
  <c r="E18" i="3"/>
  <c r="L18" i="3" s="1"/>
  <c r="K17" i="3"/>
  <c r="E17" i="3"/>
  <c r="L17" i="3" s="1"/>
  <c r="K16" i="3"/>
  <c r="E16" i="3"/>
  <c r="J15" i="3"/>
  <c r="I15" i="3"/>
  <c r="C15" i="3"/>
  <c r="K14" i="3"/>
  <c r="E14" i="3"/>
  <c r="L14" i="3" s="1"/>
  <c r="K13" i="3"/>
  <c r="E13" i="3"/>
  <c r="L13" i="3" s="1"/>
  <c r="K12" i="3"/>
  <c r="E12" i="3"/>
  <c r="L12" i="3" s="1"/>
  <c r="K11" i="3"/>
  <c r="E11" i="3"/>
  <c r="L11" i="3" s="1"/>
  <c r="K10" i="3"/>
  <c r="E10" i="3"/>
  <c r="J9" i="3"/>
  <c r="I9" i="3"/>
  <c r="C9" i="3"/>
  <c r="K8" i="3"/>
  <c r="E8" i="3"/>
  <c r="L8" i="3" s="1"/>
  <c r="K7" i="3"/>
  <c r="E7" i="3"/>
  <c r="L7" i="3" s="1"/>
  <c r="K6" i="3"/>
  <c r="E6" i="3"/>
  <c r="L6" i="3" s="1"/>
  <c r="K5" i="3"/>
  <c r="E5" i="3"/>
  <c r="L5" i="3" s="1"/>
  <c r="K4" i="3"/>
  <c r="E4" i="3"/>
  <c r="L4" i="3" s="1"/>
  <c r="K3" i="3"/>
  <c r="E3" i="3"/>
  <c r="L3" i="3" s="1"/>
  <c r="H30" i="2"/>
  <c r="E30" i="2"/>
  <c r="D30" i="2"/>
  <c r="A30" i="2"/>
  <c r="H29" i="2"/>
  <c r="E29" i="2"/>
  <c r="D29" i="2"/>
  <c r="A29" i="2"/>
  <c r="H28" i="2"/>
  <c r="E28" i="2"/>
  <c r="D28" i="2"/>
  <c r="A28" i="2"/>
  <c r="H27" i="2"/>
  <c r="E27" i="2"/>
  <c r="D27" i="2"/>
  <c r="A27" i="2"/>
  <c r="H26" i="2"/>
  <c r="E26" i="2"/>
  <c r="D26" i="2"/>
  <c r="A26" i="2"/>
  <c r="H25" i="2"/>
  <c r="E25" i="2"/>
  <c r="D25" i="2"/>
  <c r="A25" i="2"/>
  <c r="L23" i="2"/>
  <c r="H23" i="2"/>
  <c r="E23" i="2"/>
  <c r="D23" i="2"/>
  <c r="A23" i="2"/>
  <c r="H22" i="2"/>
  <c r="E22" i="2"/>
  <c r="D22" i="2"/>
  <c r="A22" i="2"/>
  <c r="H21" i="2"/>
  <c r="E21" i="2"/>
  <c r="D21" i="2"/>
  <c r="A21" i="2"/>
  <c r="L20" i="2"/>
  <c r="H20" i="2"/>
  <c r="E20" i="2"/>
  <c r="D20" i="2"/>
  <c r="A20" i="2"/>
  <c r="H19" i="2"/>
  <c r="E19" i="2"/>
  <c r="D19" i="2"/>
  <c r="A19" i="2"/>
  <c r="H17" i="2"/>
  <c r="E17" i="2"/>
  <c r="D17" i="2"/>
  <c r="A17" i="2"/>
  <c r="H16" i="2"/>
  <c r="E16" i="2"/>
  <c r="D16" i="2"/>
  <c r="A16" i="2"/>
  <c r="H15" i="2"/>
  <c r="E15" i="2"/>
  <c r="D15" i="2"/>
  <c r="A15" i="2"/>
  <c r="L14" i="2"/>
  <c r="H14" i="2"/>
  <c r="E14" i="2"/>
  <c r="D14" i="2"/>
  <c r="A14" i="2"/>
  <c r="H13" i="2"/>
  <c r="E13" i="2"/>
  <c r="D13" i="2"/>
  <c r="A13" i="2"/>
  <c r="H12" i="2"/>
  <c r="E12" i="2"/>
  <c r="D12" i="2"/>
  <c r="A12" i="2"/>
  <c r="H11" i="2"/>
  <c r="E11" i="2"/>
  <c r="D11" i="2"/>
  <c r="A11" i="2"/>
  <c r="H10" i="2"/>
  <c r="E10" i="2"/>
  <c r="D10" i="2"/>
  <c r="A10" i="2"/>
  <c r="H9" i="2"/>
  <c r="E9" i="2"/>
  <c r="D9" i="2"/>
  <c r="A9" i="2"/>
  <c r="H8" i="2"/>
  <c r="E8" i="2"/>
  <c r="D8" i="2"/>
  <c r="A8" i="2"/>
  <c r="H7" i="2"/>
  <c r="E7" i="2"/>
  <c r="D7" i="2"/>
  <c r="A7" i="2"/>
  <c r="H6" i="2"/>
  <c r="E6" i="2"/>
  <c r="D6" i="2"/>
  <c r="A6" i="2"/>
  <c r="H5" i="2"/>
  <c r="E5" i="2"/>
  <c r="D5" i="2"/>
  <c r="A5" i="2"/>
  <c r="V28" i="1"/>
  <c r="C30" i="2" s="1"/>
  <c r="U28" i="1"/>
  <c r="B30" i="2" s="1"/>
  <c r="E28" i="1"/>
  <c r="V27" i="1"/>
  <c r="C29" i="2" s="1"/>
  <c r="U27" i="1"/>
  <c r="E27" i="1"/>
  <c r="V26" i="1"/>
  <c r="C28" i="2" s="1"/>
  <c r="U26" i="1"/>
  <c r="V25" i="1"/>
  <c r="C27" i="2" s="1"/>
  <c r="U25" i="1"/>
  <c r="B27" i="2" s="1"/>
  <c r="E25" i="1"/>
  <c r="V24" i="1"/>
  <c r="C26" i="2" s="1"/>
  <c r="U24" i="1"/>
  <c r="E24" i="1"/>
  <c r="V23" i="1"/>
  <c r="C25" i="2" s="1"/>
  <c r="U23" i="1"/>
  <c r="E23" i="1"/>
  <c r="C23" i="2"/>
  <c r="U21" i="1"/>
  <c r="B23" i="2" s="1"/>
  <c r="V20" i="1"/>
  <c r="C22" i="2" s="1"/>
  <c r="U20" i="1"/>
  <c r="B22" i="2" s="1"/>
  <c r="J20" i="1"/>
  <c r="F22" i="2" s="1"/>
  <c r="E20" i="1"/>
  <c r="V19" i="1"/>
  <c r="C21" i="2" s="1"/>
  <c r="U19" i="1"/>
  <c r="B21" i="2" s="1"/>
  <c r="E19" i="1"/>
  <c r="V18" i="1"/>
  <c r="C20" i="2" s="1"/>
  <c r="U18" i="1"/>
  <c r="B20" i="2" s="1"/>
  <c r="V17" i="1"/>
  <c r="C19" i="2" s="1"/>
  <c r="U17" i="1"/>
  <c r="B19" i="2" s="1"/>
  <c r="V15" i="1"/>
  <c r="C17" i="2" s="1"/>
  <c r="U15" i="1"/>
  <c r="B17" i="2" s="1"/>
  <c r="E15" i="1"/>
  <c r="V14" i="1"/>
  <c r="J14" i="1" s="1"/>
  <c r="F16" i="2" s="1"/>
  <c r="U14" i="1"/>
  <c r="V13" i="1"/>
  <c r="C15" i="2" s="1"/>
  <c r="U13" i="1"/>
  <c r="B15" i="2" s="1"/>
  <c r="E13" i="1"/>
  <c r="W12" i="1"/>
  <c r="M12" i="1" s="1"/>
  <c r="V12" i="1"/>
  <c r="J12" i="1" s="1"/>
  <c r="F14" i="2" s="1"/>
  <c r="U12" i="1"/>
  <c r="E12" i="1"/>
  <c r="V11" i="1"/>
  <c r="C13" i="2" s="1"/>
  <c r="U11" i="1"/>
  <c r="B13" i="2" s="1"/>
  <c r="E11" i="1"/>
  <c r="V10" i="1"/>
  <c r="C12" i="2" s="1"/>
  <c r="U10" i="1"/>
  <c r="V9" i="1"/>
  <c r="J9" i="1" s="1"/>
  <c r="F11" i="2" s="1"/>
  <c r="U9" i="1"/>
  <c r="E9" i="1"/>
  <c r="V8" i="1"/>
  <c r="C10" i="2" s="1"/>
  <c r="U8" i="1"/>
  <c r="B10" i="2" s="1"/>
  <c r="V7" i="1"/>
  <c r="C9" i="2" s="1"/>
  <c r="U7" i="1"/>
  <c r="B9" i="2" s="1"/>
  <c r="V6" i="1"/>
  <c r="J6" i="1" s="1"/>
  <c r="F8" i="2" s="1"/>
  <c r="U6" i="1"/>
  <c r="E6" i="1"/>
  <c r="V5" i="1"/>
  <c r="C7" i="2" s="1"/>
  <c r="U5" i="1"/>
  <c r="B7" i="2" s="1"/>
  <c r="E5" i="1"/>
  <c r="V4" i="1"/>
  <c r="C6" i="2" s="1"/>
  <c r="U4" i="1"/>
  <c r="B6" i="2" s="1"/>
  <c r="E4" i="1"/>
  <c r="V3" i="1"/>
  <c r="C5" i="2" s="1"/>
  <c r="U3" i="1"/>
  <c r="E3" i="1"/>
  <c r="L40" i="3" l="1"/>
  <c r="W8" i="1"/>
  <c r="M8" i="1" s="1"/>
  <c r="J10" i="2" s="1"/>
  <c r="W19" i="1"/>
  <c r="M19" i="1" s="1"/>
  <c r="L16" i="2"/>
  <c r="L25" i="2"/>
  <c r="L8" i="2"/>
  <c r="W13" i="1"/>
  <c r="M13" i="1" s="1"/>
  <c r="J15" i="2" s="1"/>
  <c r="S15" i="2" a="1"/>
  <c r="S15" i="2" s="1"/>
  <c r="O15" i="2" a="1"/>
  <c r="W25" i="1"/>
  <c r="M25" i="1" s="1"/>
  <c r="J27" i="2" s="1"/>
  <c r="L29" i="2"/>
  <c r="Q27" i="2" a="1"/>
  <c r="O27" i="2" a="1"/>
  <c r="S27" i="2" a="1"/>
  <c r="S27" i="2" s="1"/>
  <c r="S6" i="2" a="1"/>
  <c r="S6" i="2" s="1"/>
  <c r="Q6" i="2" a="1"/>
  <c r="O6" i="2" a="1"/>
  <c r="L13" i="2"/>
  <c r="L21" i="2"/>
  <c r="L6" i="2"/>
  <c r="E57" i="3"/>
  <c r="L11" i="2"/>
  <c r="Q23" i="2" a="1"/>
  <c r="O23" i="2" a="1"/>
  <c r="S23" i="2" a="1"/>
  <c r="S23" i="2" s="1"/>
  <c r="L12" i="2"/>
  <c r="E23" i="3"/>
  <c r="E217" i="3"/>
  <c r="O17" i="2" a="1"/>
  <c r="S17" i="2" a="1"/>
  <c r="S17" i="2" s="1"/>
  <c r="Q17" i="2" a="1"/>
  <c r="W10" i="1"/>
  <c r="M10" i="1" s="1"/>
  <c r="J12" i="2" s="1"/>
  <c r="W27" i="1"/>
  <c r="M27" i="1" s="1"/>
  <c r="J29" i="2" s="1"/>
  <c r="L10" i="3"/>
  <c r="E30" i="3"/>
  <c r="L5" i="2"/>
  <c r="O10" i="2" a="1"/>
  <c r="Q10" i="2" a="1"/>
  <c r="L26" i="2"/>
  <c r="W5" i="1"/>
  <c r="M5" i="1" s="1"/>
  <c r="J7" i="2" s="1"/>
  <c r="O19" i="2" a="1"/>
  <c r="S19" i="2" a="1"/>
  <c r="S19" i="2" s="1"/>
  <c r="Q19" i="2" a="1"/>
  <c r="S10" i="2" a="1"/>
  <c r="S10" i="2" s="1"/>
  <c r="Q22" i="2" a="1"/>
  <c r="S22" i="2" a="1"/>
  <c r="S22" i="2" s="1"/>
  <c r="O22" i="2" a="1"/>
  <c r="W4" i="1"/>
  <c r="M4" i="1" s="1"/>
  <c r="J6" i="2" s="1"/>
  <c r="W9" i="1"/>
  <c r="M9" i="1" s="1"/>
  <c r="J11" i="2" s="1"/>
  <c r="S7" i="2" a="1"/>
  <c r="S7" i="2" s="1"/>
  <c r="O7" i="2" a="1"/>
  <c r="Q7" i="2" a="1"/>
  <c r="O13" i="2" a="1"/>
  <c r="S13" i="2" a="1"/>
  <c r="S13" i="2" s="1"/>
  <c r="Q13" i="2" a="1"/>
  <c r="Q30" i="2" a="1"/>
  <c r="S30" i="2" a="1"/>
  <c r="S30" i="2" s="1"/>
  <c r="O30" i="2" a="1"/>
  <c r="L24" i="3"/>
  <c r="W20" i="1"/>
  <c r="M20" i="1" s="1"/>
  <c r="L27" i="2"/>
  <c r="S20" i="2" a="1"/>
  <c r="S20" i="2" s="1"/>
  <c r="O20" i="2" a="1"/>
  <c r="W23" i="1"/>
  <c r="M23" i="1" s="1"/>
  <c r="J25" i="2" s="1"/>
  <c r="Q20" i="2" a="1"/>
  <c r="O21" i="2" a="1"/>
  <c r="S21" i="2" a="1"/>
  <c r="S21" i="2" s="1"/>
  <c r="Q21" i="2" a="1"/>
  <c r="W28" i="1"/>
  <c r="M28" i="1" s="1"/>
  <c r="Q15" i="2" a="1"/>
  <c r="W11" i="1"/>
  <c r="M11" i="1" s="1"/>
  <c r="J13" i="2" s="1"/>
  <c r="O9" i="2" a="1"/>
  <c r="Q9" i="2" a="1"/>
  <c r="S9" i="2" a="1"/>
  <c r="S9" i="2" s="1"/>
  <c r="W18" i="1"/>
  <c r="M18" i="1" s="1"/>
  <c r="K20" i="1"/>
  <c r="G22" i="2" s="1"/>
  <c r="E53" i="3"/>
  <c r="W14" i="1"/>
  <c r="M14" i="1" s="1"/>
  <c r="J16" i="2" s="1"/>
  <c r="W24" i="1"/>
  <c r="M24" i="1" s="1"/>
  <c r="J26" i="2" s="1"/>
  <c r="L17" i="2"/>
  <c r="M17" i="2" s="1"/>
  <c r="L16" i="3"/>
  <c r="L47" i="3"/>
  <c r="L68" i="3"/>
  <c r="L93" i="3"/>
  <c r="E108" i="3"/>
  <c r="L110" i="3"/>
  <c r="L155" i="3"/>
  <c r="E114" i="3"/>
  <c r="E162" i="3"/>
  <c r="L212" i="3"/>
  <c r="W6" i="1"/>
  <c r="M6" i="1" s="1"/>
  <c r="E83" i="3"/>
  <c r="L137" i="3"/>
  <c r="E201" i="3"/>
  <c r="L22" i="2"/>
  <c r="M22" i="2" s="1"/>
  <c r="W15" i="1"/>
  <c r="M15" i="1" s="1"/>
  <c r="J17" i="2" s="1"/>
  <c r="L19" i="2"/>
  <c r="L15" i="2"/>
  <c r="W3" i="1"/>
  <c r="M3" i="1" s="1"/>
  <c r="J5" i="2" s="1"/>
  <c r="W7" i="1"/>
  <c r="M7" i="1" s="1"/>
  <c r="J9" i="2" s="1"/>
  <c r="W26" i="1"/>
  <c r="M26" i="1" s="1"/>
  <c r="J28" i="2" s="1"/>
  <c r="L30" i="2"/>
  <c r="M30" i="2" s="1"/>
  <c r="W21" i="1"/>
  <c r="M21" i="1" s="1"/>
  <c r="J23" i="2" s="1"/>
  <c r="L9" i="2"/>
  <c r="E75" i="3"/>
  <c r="E136" i="3"/>
  <c r="J19" i="1"/>
  <c r="F21" i="2" s="1"/>
  <c r="L97" i="3"/>
  <c r="L10" i="2"/>
  <c r="L28" i="2"/>
  <c r="E15" i="3"/>
  <c r="E185" i="3"/>
  <c r="N7" i="1"/>
  <c r="K9" i="2" s="1"/>
  <c r="J27" i="1"/>
  <c r="F29" i="2" s="1"/>
  <c r="J28" i="1"/>
  <c r="F30" i="2" s="1"/>
  <c r="K24" i="1"/>
  <c r="G26" i="2" s="1"/>
  <c r="J5" i="1"/>
  <c r="F7" i="2" s="1"/>
  <c r="N5" i="1"/>
  <c r="K7" i="2" s="1"/>
  <c r="K6" i="1"/>
  <c r="G8" i="2" s="1"/>
  <c r="J24" i="1"/>
  <c r="F26" i="2" s="1"/>
  <c r="J17" i="1"/>
  <c r="F19" i="2" s="1"/>
  <c r="J4" i="1"/>
  <c r="F6" i="2" s="1"/>
  <c r="N21" i="1"/>
  <c r="K23" i="2" s="1"/>
  <c r="N9" i="1"/>
  <c r="K11" i="2" s="1"/>
  <c r="J26" i="1"/>
  <c r="F28" i="2" s="1"/>
  <c r="J8" i="2"/>
  <c r="N6" i="1"/>
  <c r="K8" i="2" s="1"/>
  <c r="J30" i="2"/>
  <c r="N28" i="1"/>
  <c r="K30" i="2" s="1"/>
  <c r="K28" i="1"/>
  <c r="G30" i="2" s="1"/>
  <c r="N8" i="1"/>
  <c r="K10" i="2" s="1"/>
  <c r="K12" i="1"/>
  <c r="G14" i="2" s="1"/>
  <c r="N26" i="1"/>
  <c r="K28" i="2" s="1"/>
  <c r="J18" i="1"/>
  <c r="F20" i="2" s="1"/>
  <c r="J21" i="1"/>
  <c r="F23" i="2" s="1"/>
  <c r="K21" i="1"/>
  <c r="G23" i="2" s="1"/>
  <c r="N27" i="1"/>
  <c r="K29" i="2" s="1"/>
  <c r="J7" i="1"/>
  <c r="F9" i="2" s="1"/>
  <c r="K19" i="1"/>
  <c r="G21" i="2" s="1"/>
  <c r="J25" i="1"/>
  <c r="K25" i="1" s="1"/>
  <c r="G27" i="2" s="1"/>
  <c r="J23" i="1"/>
  <c r="N25" i="1"/>
  <c r="K27" i="2" s="1"/>
  <c r="M15" i="2"/>
  <c r="I15" i="2"/>
  <c r="N19" i="1"/>
  <c r="K21" i="2" s="1"/>
  <c r="J21" i="2"/>
  <c r="M27" i="2"/>
  <c r="I27" i="2"/>
  <c r="M21" i="2"/>
  <c r="I21" i="2"/>
  <c r="J22" i="2"/>
  <c r="N20" i="1"/>
  <c r="K22" i="2" s="1"/>
  <c r="N12" i="1"/>
  <c r="K14" i="2" s="1"/>
  <c r="J14" i="2"/>
  <c r="I23" i="2"/>
  <c r="M23" i="2"/>
  <c r="I19" i="2"/>
  <c r="M19" i="2"/>
  <c r="I6" i="2"/>
  <c r="M6" i="2"/>
  <c r="M7" i="2"/>
  <c r="I7" i="2"/>
  <c r="M9" i="2"/>
  <c r="I9" i="2"/>
  <c r="I22" i="2"/>
  <c r="I17" i="2"/>
  <c r="J19" i="2"/>
  <c r="N17" i="1"/>
  <c r="K19" i="2" s="1"/>
  <c r="M13" i="2"/>
  <c r="I13" i="2"/>
  <c r="M20" i="2"/>
  <c r="I20" i="2"/>
  <c r="I30" i="2"/>
  <c r="J20" i="2"/>
  <c r="N18" i="1"/>
  <c r="K20" i="2" s="1"/>
  <c r="I10" i="2"/>
  <c r="M10" i="2"/>
  <c r="E124" i="3"/>
  <c r="E210" i="3"/>
  <c r="B8" i="2"/>
  <c r="B12" i="2"/>
  <c r="B16" i="2"/>
  <c r="B26" i="2"/>
  <c r="E44" i="3"/>
  <c r="N3" i="1"/>
  <c r="K5" i="2" s="1"/>
  <c r="J10" i="1"/>
  <c r="F12" i="2" s="1"/>
  <c r="J13" i="1"/>
  <c r="F15" i="2" s="1"/>
  <c r="K10" i="1"/>
  <c r="G12" i="2" s="1"/>
  <c r="C8" i="2"/>
  <c r="C16" i="2"/>
  <c r="F27" i="2"/>
  <c r="N13" i="1"/>
  <c r="K15" i="2" s="1"/>
  <c r="E95" i="3"/>
  <c r="L172" i="3"/>
  <c r="E38" i="3"/>
  <c r="B11" i="2"/>
  <c r="B25" i="2"/>
  <c r="B29" i="2"/>
  <c r="C11" i="2"/>
  <c r="K18" i="1"/>
  <c r="G20" i="2" s="1"/>
  <c r="J11" i="1"/>
  <c r="F13" i="2" s="1"/>
  <c r="K14" i="1"/>
  <c r="G16" i="2" s="1"/>
  <c r="J8" i="1"/>
  <c r="F10" i="2" s="1"/>
  <c r="L65" i="3"/>
  <c r="L111" i="3"/>
  <c r="E89" i="3"/>
  <c r="N11" i="1"/>
  <c r="K13" i="2" s="1"/>
  <c r="L127" i="3"/>
  <c r="B14" i="2"/>
  <c r="B28" i="2"/>
  <c r="E9" i="3"/>
  <c r="C14" i="2"/>
  <c r="J15" i="1"/>
  <c r="F17" i="2" s="1"/>
  <c r="K9" i="1"/>
  <c r="G11" i="2" s="1"/>
  <c r="J3" i="1"/>
  <c r="F5" i="2" s="1"/>
  <c r="B5" i="2"/>
  <c r="K27" i="1"/>
  <c r="G29" i="2" s="1"/>
  <c r="K17" i="1" l="1"/>
  <c r="G19" i="2" s="1"/>
  <c r="K15" i="1"/>
  <c r="G17" i="2" s="1"/>
  <c r="S11" i="2" a="1"/>
  <c r="S11" i="2" s="1"/>
  <c r="Q11" i="2" a="1"/>
  <c r="O11" i="2" a="1"/>
  <c r="Q16" i="2" a="1"/>
  <c r="O16" i="2" a="1"/>
  <c r="S16" i="2" a="1"/>
  <c r="S16" i="2" s="1"/>
  <c r="N24" i="1"/>
  <c r="K26" i="2" s="1"/>
  <c r="Q12" i="2" a="1"/>
  <c r="O12" i="2" a="1"/>
  <c r="S12" i="2" a="1"/>
  <c r="S12" i="2" s="1"/>
  <c r="Q28" i="2" a="1"/>
  <c r="O28" i="2" a="1"/>
  <c r="S28" i="2" a="1"/>
  <c r="S28" i="2" s="1"/>
  <c r="Q8" i="2" a="1"/>
  <c r="S8" i="2" a="1"/>
  <c r="S8" i="2" s="1"/>
  <c r="O8" i="2" a="1"/>
  <c r="N4" i="1"/>
  <c r="K6" i="2" s="1"/>
  <c r="N10" i="1"/>
  <c r="K12" i="2" s="1"/>
  <c r="K7" i="1"/>
  <c r="G9" i="2" s="1"/>
  <c r="O25" i="2" a="1"/>
  <c r="Q25" i="2" a="1"/>
  <c r="S25" i="2" a="1"/>
  <c r="S25" i="2" s="1"/>
  <c r="Q26" i="2" a="1"/>
  <c r="O26" i="2" a="1"/>
  <c r="S26" i="2" a="1"/>
  <c r="S26" i="2" s="1"/>
  <c r="S29" i="2" a="1"/>
  <c r="S29" i="2" s="1"/>
  <c r="O29" i="2" a="1"/>
  <c r="Q29" i="2" a="1"/>
  <c r="N23" i="1"/>
  <c r="K25" i="2" s="1"/>
  <c r="Q14" i="2" a="1"/>
  <c r="O14" i="2" a="1"/>
  <c r="S14" i="2" a="1"/>
  <c r="S14" i="2" s="1"/>
  <c r="S5" i="2" a="1"/>
  <c r="S5" i="2" s="1"/>
  <c r="Q5" i="2" a="1"/>
  <c r="O5" i="2" a="1"/>
  <c r="N15" i="1"/>
  <c r="K17" i="2" s="1"/>
  <c r="N14" i="1"/>
  <c r="K16" i="2" s="1"/>
  <c r="K5" i="1"/>
  <c r="G7" i="2" s="1"/>
  <c r="K13" i="1"/>
  <c r="G15" i="2" s="1"/>
  <c r="K4" i="1"/>
  <c r="G6" i="2" s="1"/>
  <c r="K26" i="1"/>
  <c r="G28" i="2" s="1"/>
  <c r="K11" i="1"/>
  <c r="G13" i="2" s="1"/>
  <c r="K8" i="1"/>
  <c r="G10" i="2" s="1"/>
  <c r="F25" i="2"/>
  <c r="K23" i="1"/>
  <c r="G25" i="2" s="1"/>
  <c r="M16" i="2"/>
  <c r="I16" i="2"/>
  <c r="M12" i="2"/>
  <c r="I12" i="2"/>
  <c r="I14" i="2"/>
  <c r="M14" i="2"/>
  <c r="M26" i="2"/>
  <c r="I26" i="2"/>
  <c r="M25" i="2"/>
  <c r="I25" i="2"/>
  <c r="I28" i="2"/>
  <c r="M28" i="2"/>
  <c r="M29" i="2"/>
  <c r="I29" i="2"/>
  <c r="M8" i="2"/>
  <c r="I8" i="2"/>
  <c r="M11" i="2"/>
  <c r="I11" i="2"/>
  <c r="K3" i="1"/>
  <c r="G5" i="2" s="1"/>
  <c r="M5" i="2"/>
  <c r="I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200-000001000000}">
      <text>
        <r>
          <rPr>
            <sz val="10"/>
            <rFont val="Arial"/>
            <family val="2"/>
          </rPr>
          <t xml:space="preserve">Brett Fassler:
Each puff session entails 80 puffs followed by a recharge. The final test may have less than 80 puffs if the vape died completely during the test.
</t>
        </r>
      </text>
    </comment>
    <comment ref="B2" authorId="0" shapeId="0" xr:uid="{00000000-0006-0000-0200-000002000000}">
      <text>
        <r>
          <rPr>
            <sz val="10"/>
            <rFont val="Arial"/>
            <family val="2"/>
          </rPr>
          <t xml:space="preserve">Brett Fassler:
Each puff session entails 80 puffs followed by a recharge. The final test may have less than 80 puffs if the vape died completely during the test.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<sst xmlns="http://schemas.openxmlformats.org/spreadsheetml/2006/main" count="339" uniqueCount="94">
  <si>
    <t>FRIENDS Measurements</t>
  </si>
  <si>
    <t>Vape Info.</t>
  </si>
  <si>
    <t>Vape</t>
  </si>
  <si>
    <t>Number of Puffs</t>
  </si>
  <si>
    <t>Puff Time (s)</t>
  </si>
  <si>
    <t>Total Puff Time (s)</t>
  </si>
  <si>
    <t>Interpuff Time (s)</t>
  </si>
  <si>
    <t>Puff Volume (mL)</t>
  </si>
  <si>
    <t>Puff Flow Rate (mL/s)</t>
  </si>
  <si>
    <t>Puffs Counted</t>
  </si>
  <si>
    <t>Puff Count RE (puff-weighted)</t>
  </si>
  <si>
    <t>Puff Count RE ± 95% CI (ratio estimator)</t>
  </si>
  <si>
    <t>Puff Time RE (puff-time-weighted)</t>
  </si>
  <si>
    <t>Puff Time RE ± 95% CI (ratio estimator)</t>
  </si>
  <si>
    <t>Thermistor Used (Y/N)</t>
  </si>
  <si>
    <t>Thermistor Needed (Y/N)</t>
  </si>
  <si>
    <t>Characteristics</t>
  </si>
  <si>
    <t>n (sessions)</t>
  </si>
  <si>
    <t>Σ Delivered Puffs</t>
  </si>
  <si>
    <t>Σ Delivered Puff Time (s)</t>
  </si>
  <si>
    <t>Adjust Myflavor</t>
  </si>
  <si>
    <t>Y</t>
  </si>
  <si>
    <t>N</t>
  </si>
  <si>
    <t>Closed System; Rechargeable</t>
  </si>
  <si>
    <t>Artery CL6</t>
  </si>
  <si>
    <t>Breeze Pro</t>
  </si>
  <si>
    <t>Closed System; Non-rechargeable</t>
  </si>
  <si>
    <t>`</t>
  </si>
  <si>
    <t>EBCreate BC 5000</t>
  </si>
  <si>
    <t>Elf Bar BC5000</t>
  </si>
  <si>
    <t>Funky Republic ti7000</t>
  </si>
  <si>
    <t>Fzzybar X20000</t>
  </si>
  <si>
    <t>Geek Bar Pulse</t>
  </si>
  <si>
    <t>Hyde IQ5000</t>
  </si>
  <si>
    <t>Hyde N-bar</t>
  </si>
  <si>
    <t>Hyde Rebel</t>
  </si>
  <si>
    <t>Juul</t>
  </si>
  <si>
    <t>Pod; Non-refillable</t>
  </si>
  <si>
    <t>Kangvape Speedy Beast X</t>
  </si>
  <si>
    <t>Lost Angel Sphere 35K</t>
  </si>
  <si>
    <t>Closed System; Rechargable</t>
  </si>
  <si>
    <t>Lost Mary MT15000</t>
  </si>
  <si>
    <t>Mr Fog Aura</t>
  </si>
  <si>
    <t>MR Fog Nova</t>
  </si>
  <si>
    <t>Njoy Ace</t>
  </si>
  <si>
    <t>North 5000 Disposable</t>
  </si>
  <si>
    <t>Offstamp SW 9000</t>
  </si>
  <si>
    <t>Offstamp X cube</t>
  </si>
  <si>
    <t>RAZ DC25000</t>
  </si>
  <si>
    <t>Tyson Heavyweight</t>
  </si>
  <si>
    <t>Viho TRX 50k</t>
  </si>
  <si>
    <t>Confidence intervals for FRIENDS accuracy: method comparison</t>
  </si>
  <si>
    <t>n sessions</t>
  </si>
  <si>
    <t>Σ puffs delivered</t>
  </si>
  <si>
    <t>Min session size</t>
  </si>
  <si>
    <t>Max session size</t>
  </si>
  <si>
    <t>Signed count bias</t>
  </si>
  <si>
    <t>Signed ±95% CI</t>
  </si>
  <si>
    <t>Signed time bias</t>
  </si>
  <si>
    <t>For vape v with sessions j = 1..n:  x_j = delivered puffs (or delivered puff time), u_j = |counted - delivered|.</t>
  </si>
  <si>
    <t>Point estimate   R = Σ u_j / Σ x_j   (puff-weighted mean absolute relative error, WMAPE)</t>
  </si>
  <si>
    <t>Variance         v(R) = n * Σ (u_j - R*x_j)^2 / [ (n-1) * (Σ x_j)^2 ]</t>
  </si>
  <si>
    <t>95% CI           R ± t(0.975, n-1) * SQRT(v(R))</t>
  </si>
  <si>
    <t>This weights each session by its own size, makes no distributional assumption about within-session errors, and is robust to correlation of errors within a session. It is the standard survey-sampling variance for a ratio of totals (Cochran 1977, Sampling Techniques, 3rd ed., Sec. 6.3).</t>
  </si>
  <si>
    <t>Assumptions and limitations</t>
  </si>
  <si>
    <t>a) Sessions within a vape are treated as independent replicate clusters. If sessions were run back-to-back on one coil, this is optimistic (coil ageing induces between-session drift that is not exchangeable).</t>
  </si>
  <si>
    <t>b) n = 1 (Njoy Ace) admits no session-level variance estimate; K/N return "N/A (n=1)". A puff-level Wilson score interval on the detection rate (80/80 detected -&gt; 95.4%-100%) is the only alternative, but see (c).</t>
  </si>
  <si>
    <t>Puff Session</t>
  </si>
  <si>
    <t>Actual Puff Time (s)</t>
  </si>
  <si>
    <t>Recorded Puff Time (s)</t>
  </si>
  <si>
    <t>Puff Count RE (per session)</t>
  </si>
  <si>
    <t>Puff Time RE (per session)</t>
  </si>
  <si>
    <t>Overall</t>
  </si>
  <si>
    <t>-</t>
  </si>
  <si>
    <t>Nord 2</t>
  </si>
  <si>
    <t>Logic Pro</t>
  </si>
  <si>
    <t>count WMAPE</t>
  </si>
  <si>
    <t xml:space="preserve"> ±95% CI</t>
  </si>
  <si>
    <t>time WMAPE</t>
  </si>
  <si>
    <t>±95% CI</t>
  </si>
  <si>
    <t>Method: Cochran ratio estimator, sessions as clusters</t>
  </si>
  <si>
    <t>c) |RE| is not scale-invariant across sessions of different length. If detection errors were independent across puffs, E|RE| would fall as 1/sqrt(session length); if errors are systematic, E|RE| is constant. In this dataset errors are dominated by systematic undercounting, so weighting by x_j is appropriate - but this should be stated, and the signed bias columns (K, Q) reported alongside as the Bland-Altman bias term.</t>
  </si>
  <si>
    <t>puff-weighted ratio estimator with sessions as clusters (current Data Summary K/N).</t>
  </si>
  <si>
    <t>VMFRIENDS Parameters</t>
  </si>
  <si>
    <t>Pod; Refillable</t>
  </si>
  <si>
    <t>TP</t>
  </si>
  <si>
    <t>FP</t>
  </si>
  <si>
    <t>FN</t>
  </si>
  <si>
    <t>Precision</t>
  </si>
  <si>
    <t>Recall</t>
  </si>
  <si>
    <t>Precision ±95% CI</t>
  </si>
  <si>
    <t>Recall ±95% CI</t>
  </si>
  <si>
    <t>F1 Score</t>
  </si>
  <si>
    <t>F1 Score ±95%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</si>
</sst>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  <charset val="1"/>
    </font>
    <font>
      <sz val="10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DEBF7"/>
        <bgColor rgb="FFDAE3F3"/>
      </patternFill>
    </fill>
    <fill>
      <patternFill patternType="solid">
        <fgColor theme="8" tint="0.79989013336588644"/>
        <bgColor rgb="FFDDEBF7"/>
      </patternFill>
    </fill>
    <fill>
      <patternFill patternType="solid">
        <fgColor rgb="FFE2EFDA"/>
        <bgColor rgb="FFDDEBF7"/>
      </patternFill>
    </fill>
    <fill>
      <patternFill patternType="solid">
        <fgColor theme="9" tint="0.39979247413556324"/>
        <bgColor rgb="FFC5E0B4"/>
      </patternFill>
    </fill>
    <fill>
      <patternFill patternType="solid">
        <fgColor theme="9" tint="0.59978026673177287"/>
        <bgColor rgb="FFA9D18E"/>
      </patternFill>
    </fill>
    <fill>
      <patternFill patternType="solid">
        <fgColor theme="9" tint="0.59987182226020086"/>
        <bgColor rgb="FFA9D18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/>
    <xf numFmtId="0" fontId="2" fillId="2" borderId="0" xfId="0" applyFont="1" applyFill="1" applyAlignment="1">
      <alignment vertical="center" wrapText="1"/>
    </xf>
    <xf numFmtId="0" fontId="0" fillId="0" borderId="8" xfId="0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0" fontId="0" fillId="0" borderId="10" xfId="0" applyNumberFormat="1" applyBorder="1" applyAlignment="1">
      <alignment horizontal="center" wrapText="1"/>
    </xf>
    <xf numFmtId="10" fontId="3" fillId="0" borderId="10" xfId="0" applyNumberFormat="1" applyFont="1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10" fontId="3" fillId="0" borderId="11" xfId="0" applyNumberFormat="1" applyFont="1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0" fillId="0" borderId="12" xfId="0" applyBorder="1"/>
    <xf numFmtId="0" fontId="0" fillId="0" borderId="7" xfId="0" applyBorder="1" applyAlignment="1">
      <alignment horizontal="center" wrapText="1"/>
    </xf>
    <xf numFmtId="10" fontId="0" fillId="0" borderId="0" xfId="0" applyNumberFormat="1" applyAlignment="1">
      <alignment horizontal="center" wrapText="1"/>
    </xf>
    <xf numFmtId="10" fontId="3" fillId="0" borderId="0" xfId="0" applyNumberFormat="1" applyFont="1" applyAlignment="1">
      <alignment horizontal="center" wrapText="1"/>
    </xf>
    <xf numFmtId="10" fontId="3" fillId="0" borderId="13" xfId="0" applyNumberFormat="1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vertical="center" wrapText="1"/>
    </xf>
    <xf numFmtId="0" fontId="0" fillId="3" borderId="0" xfId="0" applyFill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10" fontId="0" fillId="3" borderId="0" xfId="0" applyNumberFormat="1" applyFill="1" applyAlignment="1">
      <alignment horizontal="center" wrapText="1"/>
    </xf>
    <xf numFmtId="10" fontId="3" fillId="3" borderId="0" xfId="0" applyNumberFormat="1" applyFont="1" applyFill="1" applyAlignment="1">
      <alignment horizontal="center" wrapText="1"/>
    </xf>
    <xf numFmtId="10" fontId="3" fillId="3" borderId="13" xfId="0" applyNumberFormat="1" applyFont="1" applyFill="1" applyBorder="1" applyAlignment="1">
      <alignment horizont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3" xfId="0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4" xfId="0" applyBorder="1" applyAlignment="1">
      <alignment horizontal="center" vertical="center" wrapText="1"/>
    </xf>
    <xf numFmtId="10" fontId="0" fillId="0" borderId="4" xfId="0" applyNumberFormat="1" applyBorder="1" applyAlignment="1">
      <alignment horizontal="center" wrapText="1"/>
    </xf>
    <xf numFmtId="10" fontId="3" fillId="0" borderId="4" xfId="0" applyNumberFormat="1" applyFont="1" applyBorder="1" applyAlignment="1">
      <alignment horizontal="center" wrapText="1"/>
    </xf>
    <xf numFmtId="10" fontId="3" fillId="0" borderId="5" xfId="0" applyNumberFormat="1" applyFont="1" applyBorder="1" applyAlignment="1">
      <alignment horizont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3" borderId="8" xfId="0" applyFill="1" applyBorder="1" applyAlignment="1">
      <alignment vertical="center" wrapText="1"/>
    </xf>
    <xf numFmtId="0" fontId="0" fillId="3" borderId="10" xfId="0" applyFill="1" applyBorder="1" applyAlignment="1">
      <alignment horizont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wrapText="1"/>
    </xf>
    <xf numFmtId="10" fontId="0" fillId="3" borderId="10" xfId="0" applyNumberFormat="1" applyFill="1" applyBorder="1" applyAlignment="1">
      <alignment horizontal="center" wrapText="1"/>
    </xf>
    <xf numFmtId="10" fontId="3" fillId="3" borderId="10" xfId="0" applyNumberFormat="1" applyFont="1" applyFill="1" applyBorder="1" applyAlignment="1">
      <alignment horizontal="center" wrapText="1"/>
    </xf>
    <xf numFmtId="10" fontId="3" fillId="3" borderId="11" xfId="0" applyNumberFormat="1" applyFont="1" applyFill="1" applyBorder="1" applyAlignment="1">
      <alignment horizontal="center" wrapText="1"/>
    </xf>
    <xf numFmtId="0" fontId="0" fillId="3" borderId="9" xfId="0" applyFill="1" applyBorder="1" applyAlignment="1">
      <alignment horizontal="center" vertical="center" wrapText="1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0" fontId="5" fillId="0" borderId="0" xfId="0" applyFont="1"/>
    <xf numFmtId="0" fontId="2" fillId="2" borderId="15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vertical="center" wrapText="1"/>
    </xf>
    <xf numFmtId="1" fontId="4" fillId="0" borderId="0" xfId="0" applyNumberFormat="1" applyFont="1"/>
    <xf numFmtId="10" fontId="4" fillId="0" borderId="0" xfId="0" applyNumberFormat="1" applyFont="1"/>
    <xf numFmtId="0" fontId="2" fillId="0" borderId="0" xfId="0" applyFont="1"/>
    <xf numFmtId="0" fontId="1" fillId="0" borderId="8" xfId="0" applyFont="1" applyBorder="1"/>
    <xf numFmtId="0" fontId="1" fillId="0" borderId="9" xfId="0" applyFont="1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/>
    <xf numFmtId="0" fontId="0" fillId="0" borderId="16" xfId="0" applyBorder="1"/>
    <xf numFmtId="0" fontId="0" fillId="0" borderId="10" xfId="0" applyBorder="1"/>
    <xf numFmtId="0" fontId="1" fillId="5" borderId="4" xfId="0" applyFont="1" applyFill="1" applyBorder="1" applyAlignment="1">
      <alignment horizontal="right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0" borderId="13" xfId="0" applyBorder="1"/>
    <xf numFmtId="0" fontId="0" fillId="0" borderId="12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13" xfId="0" applyBorder="1" applyAlignment="1">
      <alignment horizontal="center" wrapText="1"/>
    </xf>
    <xf numFmtId="1" fontId="0" fillId="0" borderId="4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6" borderId="4" xfId="0" applyNumberFormat="1" applyFill="1" applyBorder="1" applyAlignment="1">
      <alignment horizontal="center"/>
    </xf>
    <xf numFmtId="0" fontId="6" fillId="0" borderId="0" xfId="0" applyFont="1"/>
    <xf numFmtId="0" fontId="7" fillId="2" borderId="15" xfId="0" applyFont="1" applyFill="1" applyBorder="1" applyAlignment="1">
      <alignment vertical="center" wrapText="1"/>
    </xf>
    <xf numFmtId="0" fontId="0" fillId="7" borderId="3" xfId="0" applyFill="1" applyBorder="1" applyAlignment="1">
      <alignment horizontal="center" wrapText="1"/>
    </xf>
    <xf numFmtId="0" fontId="0" fillId="0" borderId="9" xfId="0" applyBorder="1" applyAlignment="1">
      <alignment wrapText="1"/>
    </xf>
    <xf numFmtId="0" fontId="0" fillId="0" borderId="7" xfId="0" applyBorder="1" applyAlignment="1">
      <alignment wrapText="1"/>
    </xf>
    <xf numFmtId="0" fontId="0" fillId="7" borderId="14" xfId="0" applyFill="1" applyBorder="1" applyAlignment="1">
      <alignment horizontal="center" wrapText="1"/>
    </xf>
    <xf numFmtId="0" fontId="0" fillId="0" borderId="4" xfId="0" applyBorder="1"/>
    <xf numFmtId="0" fontId="0" fillId="0" borderId="16" xfId="0" applyBorder="1" applyAlignment="1">
      <alignment horizontal="center"/>
    </xf>
    <xf numFmtId="2" fontId="0" fillId="0" borderId="0" xfId="0" applyNumberFormat="1"/>
    <xf numFmtId="164" fontId="0" fillId="0" borderId="0" xfId="0" applyNumberFormat="1"/>
    <xf numFmtId="10" fontId="0" fillId="0" borderId="0" xfId="0" applyNumberFormat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opLeftCell="C1" zoomScale="85" zoomScaleNormal="85" workbookViewId="0">
      <selection activeCell="M22" sqref="M22"/>
    </sheetView>
  </sheetViews>
  <sheetFormatPr defaultColWidth="8.69140625" defaultRowHeight="14.6" x14ac:dyDescent="0.4"/>
  <cols>
    <col min="2" max="2" width="24.15234375" customWidth="1"/>
    <col min="3" max="3" width="8.53515625" customWidth="1"/>
    <col min="4" max="4" width="5.69140625" customWidth="1"/>
    <col min="5" max="5" width="10.53515625" customWidth="1"/>
    <col min="6" max="6" width="8.3828125" customWidth="1"/>
    <col min="7" max="7" width="8.15234375" customWidth="1"/>
    <col min="8" max="8" width="7.84375" customWidth="1"/>
    <col min="9" max="9" width="10" customWidth="1"/>
    <col min="10" max="10" width="9.84375" customWidth="1"/>
    <col min="11" max="11" width="12.53515625" customWidth="1"/>
    <col min="12" max="12" width="13.3828125" customWidth="1"/>
    <col min="13" max="13" width="15.84375" customWidth="1"/>
    <col min="14" max="14" width="14" customWidth="1"/>
    <col min="15" max="15" width="14.15234375" customWidth="1"/>
    <col min="16" max="16" width="12.15234375" customWidth="1"/>
    <col min="17" max="17" width="29.84375" customWidth="1"/>
    <col min="18" max="18" width="27.84375" customWidth="1"/>
    <col min="19" max="19" width="20.3828125" customWidth="1"/>
    <col min="21" max="23" width="14" customWidth="1"/>
  </cols>
  <sheetData>
    <row r="1" spans="1:23" ht="19.5" customHeight="1" x14ac:dyDescent="0.4">
      <c r="A1" s="1"/>
      <c r="B1" s="1"/>
      <c r="C1" s="102" t="s">
        <v>83</v>
      </c>
      <c r="D1" s="102"/>
      <c r="E1" s="102"/>
      <c r="F1" s="102"/>
      <c r="G1" s="102"/>
      <c r="H1" s="102"/>
      <c r="I1" s="102" t="s">
        <v>0</v>
      </c>
      <c r="J1" s="102"/>
      <c r="K1" s="102"/>
      <c r="L1" s="102"/>
      <c r="M1" s="102"/>
      <c r="N1" s="102"/>
      <c r="O1" s="103" t="s">
        <v>1</v>
      </c>
      <c r="P1" s="103"/>
      <c r="Q1" s="103"/>
    </row>
    <row r="2" spans="1:23" ht="29.25" customHeight="1" x14ac:dyDescent="0.4">
      <c r="A2" s="1"/>
      <c r="B2" s="2" t="s">
        <v>2</v>
      </c>
      <c r="C2" s="3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5" t="s">
        <v>8</v>
      </c>
      <c r="I2" s="6" t="s">
        <v>9</v>
      </c>
      <c r="J2" s="7" t="s">
        <v>10</v>
      </c>
      <c r="K2" s="7" t="s">
        <v>11</v>
      </c>
      <c r="L2" s="7" t="s">
        <v>5</v>
      </c>
      <c r="M2" s="7" t="s">
        <v>12</v>
      </c>
      <c r="N2" s="7" t="s">
        <v>13</v>
      </c>
      <c r="O2" s="8" t="s">
        <v>14</v>
      </c>
      <c r="P2" s="9" t="s">
        <v>15</v>
      </c>
      <c r="Q2" s="7" t="s">
        <v>16</v>
      </c>
      <c r="R2" s="10"/>
      <c r="U2" s="11" t="s">
        <v>17</v>
      </c>
      <c r="V2" s="11" t="s">
        <v>18</v>
      </c>
      <c r="W2" s="11" t="s">
        <v>19</v>
      </c>
    </row>
    <row r="3" spans="1:23" ht="15" customHeight="1" x14ac:dyDescent="0.4">
      <c r="A3" s="1">
        <v>1</v>
      </c>
      <c r="B3" s="12" t="s">
        <v>20</v>
      </c>
      <c r="C3" s="13">
        <v>440</v>
      </c>
      <c r="D3" s="13">
        <v>3</v>
      </c>
      <c r="E3" s="13">
        <f>C3*D3</f>
        <v>1320</v>
      </c>
      <c r="F3" s="14">
        <v>18</v>
      </c>
      <c r="G3" s="14">
        <v>120</v>
      </c>
      <c r="H3" s="14">
        <v>40</v>
      </c>
      <c r="I3" s="15">
        <v>440</v>
      </c>
      <c r="J3" s="16">
        <f>SUMPRODUCT(ABS('All Data'!I64:I74-'All Data'!C64:C74))/$V3</f>
        <v>0</v>
      </c>
      <c r="K3" s="17">
        <f>IF($U3&lt;2,"N/A (n=1)",TINV(0.05,$U3-1)*SQRT($U3*SUMPRODUCT((ABS('All Data'!I64:I74-'All Data'!C64:C74)-$J3*'All Data'!C64:C74)^2)/(($U3-1)*$V3^2)))</f>
        <v>0</v>
      </c>
      <c r="L3" s="18">
        <v>1437.6143999999999</v>
      </c>
      <c r="M3" s="16">
        <f>SUMPRODUCT(ABS('All Data'!J64:J74-'All Data'!E64:E74))/$W3</f>
        <v>8.9101818181818171E-2</v>
      </c>
      <c r="N3" s="19">
        <f>IF($U3&lt;2,"N/A (n=1)",TINV(0.05,$U3-1)*SQRT($U3*SUMPRODUCT((ABS('All Data'!J64:J74-'All Data'!E64:E74)-$M3*'All Data'!E64:E74)^2)/(($U3-1)*$W3^2)))</f>
        <v>5.5238047453313802E-3</v>
      </c>
      <c r="O3" s="20" t="s">
        <v>21</v>
      </c>
      <c r="P3" s="21" t="s">
        <v>22</v>
      </c>
      <c r="Q3" s="22" t="s">
        <v>23</v>
      </c>
      <c r="R3" s="23"/>
      <c r="U3" s="24">
        <f>COUNT('All Data'!C64:C74)</f>
        <v>11</v>
      </c>
      <c r="V3" s="24">
        <f>SUM('All Data'!C64:C74)</f>
        <v>440</v>
      </c>
      <c r="W3" s="24">
        <f>SUM('All Data'!E64:E74)</f>
        <v>1320</v>
      </c>
    </row>
    <row r="4" spans="1:23" ht="15" customHeight="1" x14ac:dyDescent="0.4">
      <c r="A4" s="1">
        <v>2</v>
      </c>
      <c r="B4" s="25" t="s">
        <v>24</v>
      </c>
      <c r="C4" s="13">
        <v>433</v>
      </c>
      <c r="D4" s="13">
        <v>3</v>
      </c>
      <c r="E4" s="13">
        <f>C4*D4</f>
        <v>1299</v>
      </c>
      <c r="F4" s="14">
        <v>18</v>
      </c>
      <c r="G4" s="14">
        <v>120</v>
      </c>
      <c r="H4" s="14">
        <v>40</v>
      </c>
      <c r="I4" s="26">
        <v>403</v>
      </c>
      <c r="J4" s="27">
        <f>SUMPRODUCT(ABS('All Data'!I76:I82-'All Data'!C76:C82))/$V4</f>
        <v>6.9284064665127015E-2</v>
      </c>
      <c r="K4" s="28">
        <f>IF($U4&lt;2,"N/A (n=1)",TINV(0.05,$U4-1)*SQRT($U4*SUMPRODUCT((ABS('All Data'!I76:I82-'All Data'!C76:C82)-$J4*'All Data'!C76:C82)^2)/(($U4-1)*$V4^2)))</f>
        <v>9.9512295331864786E-2</v>
      </c>
      <c r="L4" s="13">
        <v>1311.6472000000001</v>
      </c>
      <c r="M4" s="27">
        <f>SUMPRODUCT(ABS('All Data'!J76:J82-'All Data'!E76:E82))/$W4</f>
        <v>9.1963048498845262E-2</v>
      </c>
      <c r="N4" s="29">
        <f>IF($U4&lt;2,"N/A (n=1)",TINV(0.05,$U4-1)*SQRT($U4*SUMPRODUCT((ABS('All Data'!J76:J82-'All Data'!E76:E82)-$M4*'All Data'!E76:E82)^2)/(($U4-1)*$W4^2)))</f>
        <v>0.10106321548441896</v>
      </c>
      <c r="O4" s="30" t="s">
        <v>21</v>
      </c>
      <c r="P4" s="31" t="s">
        <v>22</v>
      </c>
      <c r="Q4" s="32" t="s">
        <v>23</v>
      </c>
      <c r="R4" s="23"/>
      <c r="U4" s="24">
        <f>COUNT('All Data'!C76:C82)</f>
        <v>7</v>
      </c>
      <c r="V4" s="24">
        <f>SUM('All Data'!C76:C82)</f>
        <v>433</v>
      </c>
      <c r="W4" s="24">
        <f>SUM('All Data'!E76:E82)</f>
        <v>1299</v>
      </c>
    </row>
    <row r="5" spans="1:23" ht="14.25" customHeight="1" x14ac:dyDescent="0.4">
      <c r="A5" s="1">
        <v>3</v>
      </c>
      <c r="B5" s="81" t="s">
        <v>25</v>
      </c>
      <c r="C5" s="14">
        <v>400</v>
      </c>
      <c r="D5" s="13">
        <v>3</v>
      </c>
      <c r="E5" s="14">
        <f>C5*D5</f>
        <v>1200</v>
      </c>
      <c r="F5" s="14">
        <v>18</v>
      </c>
      <c r="G5" s="14">
        <v>120</v>
      </c>
      <c r="H5" s="14">
        <v>40</v>
      </c>
      <c r="I5" s="82">
        <v>397</v>
      </c>
      <c r="J5" s="27">
        <f>SUMPRODUCT(ABS('All Data'!I39:I43-'All Data'!C39:C43))/$V5</f>
        <v>7.4999999999999997E-3</v>
      </c>
      <c r="K5" s="28">
        <f>IF($U5&lt;2,"N/A (n=1)",TINV(0.05,$U5-1)*SQRT($U5*SUMPRODUCT((ABS('All Data'!I39:I43-'All Data'!C39:C43)-$J5*'All Data'!C39:C43)^2)/(($U5-1)*$V5^2)))</f>
        <v>2.0823338288983449E-2</v>
      </c>
      <c r="L5" s="14">
        <v>1241.0302999999999</v>
      </c>
      <c r="M5" s="27">
        <f>SUMPRODUCT(ABS('All Data'!J39:J43-'All Data'!E39:E43))/$W5</f>
        <v>3.4191916666666676E-2</v>
      </c>
      <c r="N5" s="29">
        <f>IF($U5&lt;2,"N/A (n=1)",TINV(0.05,$U5-1)*SQRT($U5*SUMPRODUCT((ABS('All Data'!J39:J43-'All Data'!E39:E43)-$M5*'All Data'!E39:E43)^2)/(($U5-1)*$W5^2)))</f>
        <v>1.3734479274161169E-2</v>
      </c>
      <c r="O5" s="82" t="s">
        <v>21</v>
      </c>
      <c r="P5" s="14" t="s">
        <v>21</v>
      </c>
      <c r="Q5" s="83" t="s">
        <v>26</v>
      </c>
      <c r="R5" s="23"/>
      <c r="T5" t="s">
        <v>27</v>
      </c>
      <c r="U5" s="24">
        <f>COUNT('All Data'!C39:C43)</f>
        <v>5</v>
      </c>
      <c r="V5" s="24">
        <f>SUM('All Data'!C39:C43)</f>
        <v>400</v>
      </c>
      <c r="W5" s="24">
        <f>SUM('All Data'!E39:E43)</f>
        <v>1200</v>
      </c>
    </row>
    <row r="6" spans="1:23" ht="14.25" customHeight="1" x14ac:dyDescent="0.4">
      <c r="A6" s="1">
        <v>4</v>
      </c>
      <c r="B6" s="25" t="s">
        <v>28</v>
      </c>
      <c r="C6" s="13">
        <v>450</v>
      </c>
      <c r="D6" s="13">
        <v>3</v>
      </c>
      <c r="E6" s="13">
        <f>C6*D6</f>
        <v>1350</v>
      </c>
      <c r="F6" s="14">
        <v>18</v>
      </c>
      <c r="G6" s="14">
        <v>120</v>
      </c>
      <c r="H6" s="14">
        <v>40</v>
      </c>
      <c r="I6" s="26">
        <v>446</v>
      </c>
      <c r="J6" s="27">
        <f>SUMPRODUCT(ABS('All Data'!I84:I88-'All Data'!C84:C88))/$V6</f>
        <v>8.8888888888888889E-3</v>
      </c>
      <c r="K6" s="28">
        <f>IF($U6&lt;2,"N/A (n=1)",TINV(0.05,$U6-1)*SQRT($U6*SUMPRODUCT((ABS('All Data'!I84:I88-'All Data'!C84:C88)-$J6*'All Data'!C84:C88)^2)/(($U6-1)*$V6^2)))</f>
        <v>1.3041524438347364E-2</v>
      </c>
      <c r="L6" s="13">
        <v>1358.2995000000001</v>
      </c>
      <c r="M6" s="27">
        <f>SUMPRODUCT(ABS('All Data'!J84:J88-'All Data'!E84:E88))/$W6</f>
        <v>1.2941111111111101E-2</v>
      </c>
      <c r="N6" s="29">
        <f>IF($U6&lt;2,"N/A (n=1)",TINV(0.05,$U6-1)*SQRT($U6*SUMPRODUCT((ABS('All Data'!J84:J88-'All Data'!E84:E88)-$M6*'All Data'!E84:E88)^2)/(($U6-1)*$W6^2)))</f>
        <v>8.055311413350006E-3</v>
      </c>
      <c r="O6" s="30" t="s">
        <v>21</v>
      </c>
      <c r="P6" s="31" t="s">
        <v>21</v>
      </c>
      <c r="Q6" s="32" t="s">
        <v>23</v>
      </c>
      <c r="R6" s="23"/>
      <c r="U6" s="24">
        <f>COUNT('All Data'!C84:C88)</f>
        <v>5</v>
      </c>
      <c r="V6" s="24">
        <f>SUM('All Data'!C84:C88)</f>
        <v>450</v>
      </c>
      <c r="W6" s="24">
        <f>SUM('All Data'!E84:E88)</f>
        <v>1350</v>
      </c>
    </row>
    <row r="7" spans="1:23" ht="14.25" customHeight="1" x14ac:dyDescent="0.4">
      <c r="A7" s="1">
        <v>5</v>
      </c>
      <c r="B7" s="33" t="s">
        <v>29</v>
      </c>
      <c r="C7" s="34">
        <v>448</v>
      </c>
      <c r="D7" s="34">
        <v>3</v>
      </c>
      <c r="E7" s="34">
        <v>1344</v>
      </c>
      <c r="F7" s="34">
        <v>18</v>
      </c>
      <c r="G7" s="34">
        <v>120</v>
      </c>
      <c r="H7" s="34">
        <v>40</v>
      </c>
      <c r="I7" s="35">
        <v>448</v>
      </c>
      <c r="J7" s="36">
        <f>SUMPRODUCT(ABS('All Data'!I3:I8-'All Data'!C3:C8))/$V7</f>
        <v>0</v>
      </c>
      <c r="K7" s="37">
        <f>IF($U7&lt;2,"N/A (n=1)",TINV(0.05,$U7-1)*SQRT($U7*SUMPRODUCT((ABS('All Data'!I3:I8-'All Data'!C3:C8)-$J7*'All Data'!C3:C8)^2)/(($U7-1)*$V7^2)))</f>
        <v>0</v>
      </c>
      <c r="L7" s="34">
        <v>1380.2581</v>
      </c>
      <c r="M7" s="36">
        <f>SUMPRODUCT(ABS('All Data'!J3:J8-'All Data'!E3:E8))/$W7</f>
        <v>2.8843229166666665E-2</v>
      </c>
      <c r="N7" s="38">
        <f>IF($U7&lt;2,"N/A (n=1)",TINV(0.05,$U7-1)*SQRT($U7*SUMPRODUCT((ABS('All Data'!J3:J8-'All Data'!E3:E8)-$M7*'All Data'!E3:E8)^2)/(($U7-1)*$W7^2)))</f>
        <v>1.5849924544731078E-2</v>
      </c>
      <c r="O7" s="39" t="s">
        <v>21</v>
      </c>
      <c r="P7" s="40" t="s">
        <v>21</v>
      </c>
      <c r="Q7" s="41" t="s">
        <v>23</v>
      </c>
      <c r="R7" s="23"/>
      <c r="U7" s="24">
        <f>COUNT('All Data'!C3:C8)</f>
        <v>6</v>
      </c>
      <c r="V7" s="24">
        <f>SUM('All Data'!C3:C8)</f>
        <v>448</v>
      </c>
      <c r="W7" s="24">
        <f>SUM('All Data'!E3:E8)</f>
        <v>1344</v>
      </c>
    </row>
    <row r="8" spans="1:23" ht="14.25" customHeight="1" x14ac:dyDescent="0.4">
      <c r="A8" s="1">
        <v>6</v>
      </c>
      <c r="B8" s="33" t="s">
        <v>30</v>
      </c>
      <c r="C8" s="40">
        <v>560</v>
      </c>
      <c r="D8" s="34">
        <v>3</v>
      </c>
      <c r="E8" s="13">
        <f>C8*D8</f>
        <v>1680</v>
      </c>
      <c r="F8" s="34">
        <v>18</v>
      </c>
      <c r="G8" s="34">
        <v>120</v>
      </c>
      <c r="H8" s="34">
        <v>40</v>
      </c>
      <c r="I8" s="39">
        <v>558</v>
      </c>
      <c r="J8" s="36">
        <f>SUMPRODUCT(ABS('All Data'!I31:I37-'All Data'!C31:C37))/$V8</f>
        <v>7.1428571428571426E-3</v>
      </c>
      <c r="K8" s="37">
        <f>IF($U8&lt;2,"N/A (n=1)",TINV(0.05,$U8-1)*SQRT($U8*SUMPRODUCT((ABS('All Data'!I31:I37-'All Data'!C31:C37)-$J8*'All Data'!C31:C37)^2)/(($U8-1)*$V8^2)))</f>
        <v>1.3108456345419482E-2</v>
      </c>
      <c r="L8" s="40">
        <v>1794.0507</v>
      </c>
      <c r="M8" s="36">
        <f>SUMPRODUCT(ABS('All Data'!J31:J37-'All Data'!E31:E37))/$W8</f>
        <v>6.7887321428571429E-2</v>
      </c>
      <c r="N8" s="38">
        <f>IF($U8&lt;2,"N/A (n=1)",TINV(0.05,$U8-1)*SQRT($U8*SUMPRODUCT((ABS('All Data'!J31:J37-'All Data'!E31:E37)-$M8*'All Data'!E31:E37)^2)/(($U8-1)*$W8^2)))</f>
        <v>2.4107140045672961E-2</v>
      </c>
      <c r="O8" s="39" t="s">
        <v>21</v>
      </c>
      <c r="P8" s="40" t="s">
        <v>21</v>
      </c>
      <c r="Q8" s="41" t="s">
        <v>23</v>
      </c>
      <c r="R8" s="23"/>
      <c r="U8" s="24">
        <f>COUNT('All Data'!C31:C37)</f>
        <v>7</v>
      </c>
      <c r="V8" s="24">
        <f>SUM('All Data'!C31:C37)</f>
        <v>560</v>
      </c>
      <c r="W8" s="24">
        <f>SUM('All Data'!E31:E37)</f>
        <v>1680</v>
      </c>
    </row>
    <row r="9" spans="1:23" ht="14.25" customHeight="1" x14ac:dyDescent="0.4">
      <c r="A9" s="1">
        <v>7</v>
      </c>
      <c r="B9" s="25" t="s">
        <v>31</v>
      </c>
      <c r="C9" s="13">
        <v>530</v>
      </c>
      <c r="D9" s="13">
        <v>3</v>
      </c>
      <c r="E9" s="13">
        <f>C9*D9</f>
        <v>1590</v>
      </c>
      <c r="F9" s="14">
        <v>18</v>
      </c>
      <c r="G9" s="14">
        <v>120</v>
      </c>
      <c r="H9" s="14">
        <v>40</v>
      </c>
      <c r="I9" s="26">
        <v>490</v>
      </c>
      <c r="J9" s="27">
        <f>SUMPRODUCT(ABS('All Data'!I90:I94-'All Data'!C90:C94))/$V9</f>
        <v>7.5471698113207544E-2</v>
      </c>
      <c r="K9" s="28">
        <f>IF($U9&lt;2,"N/A (n=1)",TINV(0.05,$U9-1)*SQRT($U9*SUMPRODUCT((ABS('All Data'!I90:I94-'All Data'!C90:C94)-$J9*'All Data'!C90:C94)^2)/(($U9-1)*$V9^2)))</f>
        <v>0.12520717122674596</v>
      </c>
      <c r="L9" s="13">
        <v>1582.4889000000001</v>
      </c>
      <c r="M9" s="27">
        <f>SUMPRODUCT(ABS('All Data'!J90:J94-'All Data'!E90:E94))/$W9</f>
        <v>6.8616037735849067E-2</v>
      </c>
      <c r="N9" s="29">
        <f>IF($U9&lt;2,"N/A (n=1)",TINV(0.05,$U9-1)*SQRT($U9*SUMPRODUCT((ABS('All Data'!J90:J94-'All Data'!E90:E94)-$M9*'All Data'!E90:E94)^2)/(($U9-1)*$W9^2)))</f>
        <v>7.6269101867805597E-2</v>
      </c>
      <c r="O9" s="30" t="s">
        <v>21</v>
      </c>
      <c r="P9" s="31" t="s">
        <v>21</v>
      </c>
      <c r="Q9" s="32" t="s">
        <v>23</v>
      </c>
      <c r="R9" s="23"/>
      <c r="U9" s="24">
        <f>COUNT('All Data'!C90:C94)</f>
        <v>5</v>
      </c>
      <c r="V9" s="24">
        <f>SUM('All Data'!C90:C94)</f>
        <v>530</v>
      </c>
      <c r="W9" s="24">
        <f>SUM('All Data'!E90:E94)</f>
        <v>1590</v>
      </c>
    </row>
    <row r="10" spans="1:23" ht="14.25" customHeight="1" x14ac:dyDescent="0.4">
      <c r="A10" s="1">
        <v>8</v>
      </c>
      <c r="B10" s="33" t="s">
        <v>32</v>
      </c>
      <c r="C10" s="34">
        <v>400</v>
      </c>
      <c r="D10" s="34">
        <v>3</v>
      </c>
      <c r="E10" s="34">
        <v>1200</v>
      </c>
      <c r="F10" s="34">
        <v>18</v>
      </c>
      <c r="G10" s="34">
        <v>120</v>
      </c>
      <c r="H10" s="34">
        <v>40</v>
      </c>
      <c r="I10" s="35">
        <v>403</v>
      </c>
      <c r="J10" s="36">
        <f>SUMPRODUCT(ABS('All Data'!I10:I14-'All Data'!C10:C14))/$V10</f>
        <v>7.4999999999999997E-3</v>
      </c>
      <c r="K10" s="37">
        <f>IF($U10&lt;2,"N/A (n=1)",TINV(0.05,$U10-1)*SQRT($U10*SUMPRODUCT((ABS('All Data'!I10:I14-'All Data'!C10:C14)-$J10*'All Data'!C10:C14)^2)/(($U10-1)*$V10^2)))</f>
        <v>1.3882225525988967E-2</v>
      </c>
      <c r="L10" s="34">
        <v>1252.7102</v>
      </c>
      <c r="M10" s="36">
        <f>SUMPRODUCT(ABS('All Data'!J10:J14-'All Data'!E10:E14))/$W10</f>
        <v>4.3925166666666654E-2</v>
      </c>
      <c r="N10" s="38">
        <f>IF($U10&lt;2,"N/A (n=1)",TINV(0.05,$U10-1)*SQRT($U10*SUMPRODUCT((ABS('All Data'!J10:J14-'All Data'!E10:E14)-$M10*'All Data'!E10:E14)^2)/(($U10-1)*$W10^2)))</f>
        <v>7.2025225521070739E-3</v>
      </c>
      <c r="O10" s="39" t="s">
        <v>21</v>
      </c>
      <c r="P10" s="40" t="s">
        <v>21</v>
      </c>
      <c r="Q10" s="41" t="s">
        <v>23</v>
      </c>
      <c r="R10" s="23"/>
      <c r="U10" s="24">
        <f>COUNT('All Data'!C10:C14)</f>
        <v>5</v>
      </c>
      <c r="V10" s="24">
        <f>SUM('All Data'!C10:C14)</f>
        <v>400</v>
      </c>
      <c r="W10" s="24">
        <f>SUM('All Data'!E10:E14)</f>
        <v>1200</v>
      </c>
    </row>
    <row r="11" spans="1:23" ht="14.25" customHeight="1" x14ac:dyDescent="0.4">
      <c r="A11" s="1">
        <v>9</v>
      </c>
      <c r="B11" s="25" t="s">
        <v>33</v>
      </c>
      <c r="C11" s="13">
        <v>536</v>
      </c>
      <c r="D11" s="13">
        <v>3</v>
      </c>
      <c r="E11" s="13">
        <f>C11*D11</f>
        <v>1608</v>
      </c>
      <c r="F11" s="14">
        <v>18</v>
      </c>
      <c r="G11" s="14">
        <v>120</v>
      </c>
      <c r="H11" s="14">
        <v>40</v>
      </c>
      <c r="I11" s="26">
        <v>505</v>
      </c>
      <c r="J11" s="27">
        <f>SUMPRODUCT(ABS('All Data'!I96:I103-'All Data'!C96:C103))/$V11</f>
        <v>6.1567164179104475E-2</v>
      </c>
      <c r="K11" s="28">
        <f>IF($U11&lt;2,"N/A (n=1)",TINV(0.05,$U11-1)*SQRT($U11*SUMPRODUCT((ABS('All Data'!I96:I103-'All Data'!C96:C103)-$J11*'All Data'!C96:C103)^2)/(($U11-1)*$V11^2)))</f>
        <v>5.7005772692634633E-2</v>
      </c>
      <c r="L11" s="13">
        <v>1450.9639</v>
      </c>
      <c r="M11" s="27">
        <f>SUMPRODUCT(ABS('All Data'!J96:J103-'All Data'!E96:E103))/$W11</f>
        <v>0.11488687810945274</v>
      </c>
      <c r="N11" s="29">
        <f>IF($U11&lt;2,"N/A (n=1)",TINV(0.05,$U11-1)*SQRT($U11*SUMPRODUCT((ABS('All Data'!J96:J103-'All Data'!E96:E103)-$M11*'All Data'!E96:E103)^2)/(($U11-1)*$W11^2)))</f>
        <v>7.0429889886480135E-2</v>
      </c>
      <c r="O11" s="30" t="s">
        <v>21</v>
      </c>
      <c r="P11" s="42" t="s">
        <v>21</v>
      </c>
      <c r="Q11" s="43" t="s">
        <v>23</v>
      </c>
      <c r="R11" s="23"/>
      <c r="U11" s="24">
        <f>COUNT('All Data'!C96:C103)</f>
        <v>8</v>
      </c>
      <c r="V11" s="24">
        <f>SUM('All Data'!C96:C103)</f>
        <v>536</v>
      </c>
      <c r="W11" s="24">
        <f>SUM('All Data'!E96:E103)</f>
        <v>1608</v>
      </c>
    </row>
    <row r="12" spans="1:23" ht="14.25" customHeight="1" x14ac:dyDescent="0.4">
      <c r="A12" s="1">
        <v>10</v>
      </c>
      <c r="B12" s="25" t="s">
        <v>34</v>
      </c>
      <c r="C12" s="13">
        <v>240</v>
      </c>
      <c r="D12" s="13">
        <v>3</v>
      </c>
      <c r="E12" s="13">
        <f>C12*D12</f>
        <v>720</v>
      </c>
      <c r="F12" s="14">
        <v>18</v>
      </c>
      <c r="G12" s="14">
        <v>120</v>
      </c>
      <c r="H12" s="14">
        <v>40</v>
      </c>
      <c r="I12" s="26">
        <v>236</v>
      </c>
      <c r="J12" s="27">
        <f>SUMPRODUCT(ABS('All Data'!I105:I107-'All Data'!C105:C107))/$V12</f>
        <v>1.6666666666666666E-2</v>
      </c>
      <c r="K12" s="28">
        <f>IF($U12&lt;2,"N/A (n=1)",TINV(0.05,$U12-1)*SQRT($U12*SUMPRODUCT((ABS('All Data'!I105:I107-'All Data'!C105:C107)-$J12*'All Data'!C105:C107)^2)/(($U12-1)*$V12^2)))</f>
        <v>7.171087882915772E-2</v>
      </c>
      <c r="L12" s="13">
        <v>762.31349999999998</v>
      </c>
      <c r="M12" s="27">
        <f>SUMPRODUCT(ABS('All Data'!J105:J107-'All Data'!E105:E107))/$W12</f>
        <v>8.9564861111111047E-2</v>
      </c>
      <c r="N12" s="29">
        <f>IF($U12&lt;2,"N/A (n=1)",TINV(0.05,$U12-1)*SQRT($U12*SUMPRODUCT((ABS('All Data'!J105:J107-'All Data'!E105:E107)-$M12*'All Data'!E105:E107)^2)/(($U12-1)*$W12^2)))</f>
        <v>9.3785673326711991E-2</v>
      </c>
      <c r="O12" s="30" t="s">
        <v>21</v>
      </c>
      <c r="P12" s="31" t="s">
        <v>21</v>
      </c>
      <c r="Q12" s="32" t="s">
        <v>23</v>
      </c>
      <c r="R12" s="23"/>
      <c r="U12" s="24">
        <f>COUNT('All Data'!C105:C107)</f>
        <v>3</v>
      </c>
      <c r="V12" s="24">
        <f>SUM('All Data'!C105:C107)</f>
        <v>240</v>
      </c>
      <c r="W12" s="24">
        <f>SUM('All Data'!E105:E107)</f>
        <v>720</v>
      </c>
    </row>
    <row r="13" spans="1:23" ht="14.25" customHeight="1" x14ac:dyDescent="0.4">
      <c r="A13" s="1">
        <v>11</v>
      </c>
      <c r="B13" s="44" t="s">
        <v>35</v>
      </c>
      <c r="C13" s="4">
        <v>275</v>
      </c>
      <c r="D13" s="4">
        <v>3</v>
      </c>
      <c r="E13" s="4">
        <f>C13*D13</f>
        <v>825</v>
      </c>
      <c r="F13" s="45">
        <v>18</v>
      </c>
      <c r="G13" s="45">
        <v>120</v>
      </c>
      <c r="H13" s="45">
        <v>40</v>
      </c>
      <c r="I13" s="3">
        <v>271</v>
      </c>
      <c r="J13" s="46">
        <f>SUMPRODUCT(ABS('All Data'!I109:I113-'All Data'!C109:C113))/$V13</f>
        <v>2.181818181818182E-2</v>
      </c>
      <c r="K13" s="47">
        <f>IF($U13&lt;2,"N/A (n=1)",TINV(0.05,$U13-1)*SQRT($U13*SUMPRODUCT((ABS('All Data'!I109:I113-'All Data'!C109:C113)-$J13*'All Data'!C109:C113)^2)/(($U13-1)*$V13^2)))</f>
        <v>2.8596061803234537E-2</v>
      </c>
      <c r="L13" s="4">
        <v>855.35649999999998</v>
      </c>
      <c r="M13" s="46">
        <f>SUMPRODUCT(ABS('All Data'!J109:J113-'All Data'!E109:E113))/$W13</f>
        <v>3.6795757575757572E-2</v>
      </c>
      <c r="N13" s="48">
        <f>IF($U13&lt;2,"N/A (n=1)",TINV(0.05,$U13-1)*SQRT($U13*SUMPRODUCT((ABS('All Data'!J109:J113-'All Data'!E109:E113)-$M13*'All Data'!E109:E113)^2)/(($U13-1)*$W13^2)))</f>
        <v>2.9677878324783066E-2</v>
      </c>
      <c r="O13" s="49" t="s">
        <v>21</v>
      </c>
      <c r="P13" s="50" t="s">
        <v>21</v>
      </c>
      <c r="Q13" s="51" t="s">
        <v>23</v>
      </c>
      <c r="R13" s="23"/>
      <c r="U13" s="24">
        <f>COUNT('All Data'!C109:C113)</f>
        <v>5</v>
      </c>
      <c r="V13" s="24">
        <f>SUM('All Data'!C109:C113)</f>
        <v>275</v>
      </c>
      <c r="W13" s="24">
        <f>SUM('All Data'!E109:E113)</f>
        <v>825</v>
      </c>
    </row>
    <row r="14" spans="1:23" ht="15" customHeight="1" x14ac:dyDescent="0.4">
      <c r="A14" s="1">
        <v>12</v>
      </c>
      <c r="B14" s="52" t="s">
        <v>36</v>
      </c>
      <c r="C14" s="53">
        <v>185</v>
      </c>
      <c r="D14" s="53">
        <v>3</v>
      </c>
      <c r="E14" s="53">
        <v>555</v>
      </c>
      <c r="F14" s="54">
        <v>18</v>
      </c>
      <c r="G14" s="54">
        <v>120</v>
      </c>
      <c r="H14" s="54">
        <v>40</v>
      </c>
      <c r="I14" s="55">
        <v>185</v>
      </c>
      <c r="J14" s="56">
        <f>SUMPRODUCT(ABS('All Data'!I54:I56-'All Data'!C54:C56))/$V14</f>
        <v>0</v>
      </c>
      <c r="K14" s="57">
        <f>IF($U14&lt;2,"N/A (n=1)",TINV(0.05,$U14-1)*SQRT($U14*SUMPRODUCT((ABS('All Data'!I54:I56-'All Data'!C54:C56)-$J14*'All Data'!C54:C56)^2)/(($U14-1)*$V14^2)))</f>
        <v>0</v>
      </c>
      <c r="L14" s="53">
        <v>550.91639999999995</v>
      </c>
      <c r="M14" s="56">
        <f>SUMPRODUCT(ABS('All Data'!J54:J56-'All Data'!E54:E56))/$W14</f>
        <v>7.3578378378378198E-3</v>
      </c>
      <c r="N14" s="58">
        <f>IF($U14&lt;2,"N/A (n=1)",TINV(0.05,$U14-1)*SQRT($U14*SUMPRODUCT((ABS('All Data'!J54:J56-'All Data'!E54:E56)-$M14*'All Data'!E54:E56)^2)/(($U14-1)*$W14^2)))</f>
        <v>1.7134967082595157E-2</v>
      </c>
      <c r="O14" s="59" t="s">
        <v>22</v>
      </c>
      <c r="P14" s="54" t="s">
        <v>22</v>
      </c>
      <c r="Q14" s="41" t="s">
        <v>37</v>
      </c>
      <c r="U14" s="24">
        <f>COUNT('All Data'!C54:C56)</f>
        <v>3</v>
      </c>
      <c r="V14" s="24">
        <f>SUM('All Data'!C54:C56)</f>
        <v>185</v>
      </c>
      <c r="W14" s="24">
        <f>SUM('All Data'!E54:E56)</f>
        <v>555</v>
      </c>
    </row>
    <row r="15" spans="1:23" ht="15" customHeight="1" x14ac:dyDescent="0.4">
      <c r="A15" s="1">
        <v>13</v>
      </c>
      <c r="B15" s="25" t="s">
        <v>38</v>
      </c>
      <c r="C15" s="42">
        <v>360</v>
      </c>
      <c r="D15" s="13">
        <v>3</v>
      </c>
      <c r="E15" s="13">
        <f>C15*D15</f>
        <v>1080</v>
      </c>
      <c r="F15" s="14">
        <v>18</v>
      </c>
      <c r="G15" s="14">
        <v>120</v>
      </c>
      <c r="H15" s="14">
        <v>40</v>
      </c>
      <c r="I15" s="30">
        <v>357</v>
      </c>
      <c r="J15" s="27">
        <f>SUMPRODUCT(ABS('All Data'!I115:I123-'All Data'!C115:C123))/$V15</f>
        <v>1.3888888888888888E-2</v>
      </c>
      <c r="K15" s="28">
        <f>IF($U15&lt;2,"N/A (n=1)",TINV(0.05,$U15-1)*SQRT($U15*SUMPRODUCT((ABS('All Data'!I115:I123-'All Data'!C115:C123)-$J15*'All Data'!C115:C123)^2)/(($U15-1)*$V15^2)))</f>
        <v>2.5622268168935196E-2</v>
      </c>
      <c r="L15" s="13">
        <v>1062.3376000000001</v>
      </c>
      <c r="M15" s="27">
        <f>SUMPRODUCT(ABS('All Data'!J115:J123-'All Data'!E115:E123))/$W15</f>
        <v>3.3045925925925937E-2</v>
      </c>
      <c r="N15" s="29">
        <f>IF($U15&lt;2,"N/A (n=1)",TINV(0.05,$U15-1)*SQRT($U15*SUMPRODUCT((ABS('All Data'!J115:J123-'All Data'!E115:E123)-$M15*'All Data'!E115:E123)^2)/(($U15-1)*$W15^2)))</f>
        <v>3.5206240442425547E-2</v>
      </c>
      <c r="O15" s="30" t="s">
        <v>21</v>
      </c>
      <c r="P15" s="31" t="s">
        <v>22</v>
      </c>
      <c r="Q15" s="32" t="s">
        <v>23</v>
      </c>
      <c r="U15" s="24">
        <f>COUNT('All Data'!C115:C123)</f>
        <v>9</v>
      </c>
      <c r="V15" s="24">
        <f>SUM('All Data'!C115:C123)</f>
        <v>360</v>
      </c>
      <c r="W15" s="24">
        <f>SUM('All Data'!E115:E123)</f>
        <v>1080</v>
      </c>
    </row>
    <row r="16" spans="1:23" ht="15" customHeight="1" x14ac:dyDescent="0.4">
      <c r="A16" s="1">
        <v>15</v>
      </c>
      <c r="B16" s="33" t="s">
        <v>75</v>
      </c>
      <c r="C16" s="49">
        <v>30</v>
      </c>
      <c r="D16" s="50">
        <v>3</v>
      </c>
      <c r="E16" s="84">
        <v>95</v>
      </c>
      <c r="F16" s="50">
        <v>18</v>
      </c>
      <c r="G16" s="50" t="s">
        <v>73</v>
      </c>
      <c r="H16" s="51" t="s">
        <v>73</v>
      </c>
      <c r="I16" s="49">
        <v>30</v>
      </c>
      <c r="J16" s="27">
        <f>SUMPRODUCT(ABS('All Data'!I60-'All Data'!C60))/$V16</f>
        <v>0</v>
      </c>
      <c r="K16" s="28" t="str">
        <f>IF($U16&lt;2,"N/A (n=1)",TINV(0.05,$U16-1)*SQRT($U16*SUMPRODUCT((ABS('All Data'!I60-'All Data'!C60)-$J16*'All Data'!C60)^2)/(($U16-1)*$V16^2)))</f>
        <v>N/A (n=1)</v>
      </c>
      <c r="L16" s="50">
        <v>87.324799999999996</v>
      </c>
      <c r="M16" s="27">
        <f>SUMPRODUCT(ABS('All Data'!J60-'All Data'!E60))/$W16</f>
        <v>8.0791578947368464E-2</v>
      </c>
      <c r="N16" s="29" t="str">
        <f>IF($U16&lt;2,"N/A (n=1)",TINV(0.05,$U16-1)*SQRT($U16*SUMPRODUCT((ABS('All Data'!J60-'All Data'!E60)-$M16*'All Data'!E60)^2)/(($U16-1)*$W16^2)))</f>
        <v>N/A (n=1)</v>
      </c>
      <c r="O16" s="49" t="s">
        <v>22</v>
      </c>
      <c r="P16" s="50" t="s">
        <v>22</v>
      </c>
      <c r="Q16" s="51" t="s">
        <v>37</v>
      </c>
      <c r="U16" s="24">
        <f>COUNT('All Data'!C60)</f>
        <v>1</v>
      </c>
      <c r="V16" s="24">
        <f>SUM('All Data'!C60)</f>
        <v>30</v>
      </c>
      <c r="W16" s="65">
        <f>SUM('All Data'!E60)</f>
        <v>95</v>
      </c>
    </row>
    <row r="17" spans="1:23" ht="15" customHeight="1" x14ac:dyDescent="0.4">
      <c r="A17" s="1">
        <v>14</v>
      </c>
      <c r="B17" s="33" t="s">
        <v>39</v>
      </c>
      <c r="C17" s="34">
        <v>480</v>
      </c>
      <c r="D17" s="34">
        <v>3</v>
      </c>
      <c r="E17" s="34">
        <v>1440</v>
      </c>
      <c r="F17" s="40">
        <v>18</v>
      </c>
      <c r="G17" s="40">
        <v>120</v>
      </c>
      <c r="H17" s="40">
        <v>40</v>
      </c>
      <c r="I17" s="35">
        <v>480</v>
      </c>
      <c r="J17" s="36">
        <f>SUMPRODUCT(ABS('All Data'!I47:I52-'All Data'!C47:C52))/$V17</f>
        <v>0</v>
      </c>
      <c r="K17" s="37">
        <f>IF($U17&lt;2,"N/A (n=1)",TINV(0.05,$U17-1)*SQRT($U17*SUMPRODUCT((ABS('All Data'!I47:I52-'All Data'!C47:C52)-$J17*'All Data'!C47:C52)^2)/(($U17-1)*$V17^2)))</f>
        <v>0</v>
      </c>
      <c r="L17" s="34">
        <v>1481.2302999999999</v>
      </c>
      <c r="M17" s="36">
        <f>SUMPRODUCT(ABS('All Data'!J47:J52-'All Data'!E47:E52))/$W17</f>
        <v>2.8632152777777777E-2</v>
      </c>
      <c r="N17" s="38">
        <f>IF($U17&lt;2,"N/A (n=1)",TINV(0.05,$U17-1)*SQRT($U17*SUMPRODUCT((ABS('All Data'!J47:J52-'All Data'!E47:E52)-$M17*'All Data'!E47:E52)^2)/(($U17-1)*$W17^2)))</f>
        <v>1.4821302571350638E-3</v>
      </c>
      <c r="O17" s="39" t="s">
        <v>21</v>
      </c>
      <c r="P17" s="40" t="s">
        <v>22</v>
      </c>
      <c r="Q17" s="41" t="s">
        <v>40</v>
      </c>
      <c r="U17" s="24">
        <f>COUNT('All Data'!C47:C52)</f>
        <v>6</v>
      </c>
      <c r="V17" s="24">
        <f>SUM('All Data'!C47:C52)</f>
        <v>480</v>
      </c>
      <c r="W17" s="24">
        <f>SUM('All Data'!E47:E52)</f>
        <v>1440</v>
      </c>
    </row>
    <row r="18" spans="1:23" ht="15" customHeight="1" x14ac:dyDescent="0.4">
      <c r="A18" s="1">
        <v>16</v>
      </c>
      <c r="B18" s="33" t="s">
        <v>41</v>
      </c>
      <c r="C18" s="34">
        <v>455</v>
      </c>
      <c r="D18" s="34">
        <v>3</v>
      </c>
      <c r="E18" s="34">
        <v>1365</v>
      </c>
      <c r="F18" s="34">
        <v>18</v>
      </c>
      <c r="G18" s="34">
        <v>120</v>
      </c>
      <c r="H18" s="34">
        <v>40</v>
      </c>
      <c r="I18" s="35">
        <v>449</v>
      </c>
      <c r="J18" s="36">
        <f>SUMPRODUCT(ABS('All Data'!I24:I29-'All Data'!C24:C29))/$V18</f>
        <v>2.6373626373626374E-2</v>
      </c>
      <c r="K18" s="37">
        <f>IF($U18&lt;2,"N/A (n=1)",TINV(0.05,$U18-1)*SQRT($U18*SUMPRODUCT((ABS('All Data'!I24:I29-'All Data'!C24:C29)-$J18*'All Data'!C24:C29)^2)/(($U18-1)*$V18^2)))</f>
        <v>1.5610502465121141E-2</v>
      </c>
      <c r="L18" s="34">
        <v>1395.8214</v>
      </c>
      <c r="M18" s="36">
        <f>SUMPRODUCT(ABS('All Data'!J24:J29-'All Data'!E24:E29))/$W18</f>
        <v>2.5857582417582403E-2</v>
      </c>
      <c r="N18" s="38">
        <f>IF($U18&lt;2,"N/A (n=1)",TINV(0.05,$U18-1)*SQRT($U18*SUMPRODUCT((ABS('All Data'!J24:J29-'All Data'!E24:E29)-$M18*'All Data'!E24:E29)^2)/(($U18-1)*$W18^2)))</f>
        <v>2.1006455007359915E-2</v>
      </c>
      <c r="O18" s="39" t="s">
        <v>21</v>
      </c>
      <c r="P18" s="40" t="s">
        <v>21</v>
      </c>
      <c r="Q18" s="41" t="s">
        <v>23</v>
      </c>
      <c r="U18" s="24">
        <f>COUNT('All Data'!C24:C29)</f>
        <v>6</v>
      </c>
      <c r="V18" s="24">
        <f>SUM('All Data'!C24:C29)</f>
        <v>455</v>
      </c>
      <c r="W18" s="24">
        <f>SUM('All Data'!E24:E29)</f>
        <v>1365</v>
      </c>
    </row>
    <row r="19" spans="1:23" ht="15" customHeight="1" x14ac:dyDescent="0.4">
      <c r="A19" s="1">
        <v>17</v>
      </c>
      <c r="B19" s="25" t="s">
        <v>42</v>
      </c>
      <c r="C19" s="42">
        <v>1049</v>
      </c>
      <c r="D19" s="13">
        <v>3</v>
      </c>
      <c r="E19" s="13">
        <f>C19*D19</f>
        <v>3147</v>
      </c>
      <c r="F19" s="14">
        <v>18</v>
      </c>
      <c r="G19" s="14">
        <v>120</v>
      </c>
      <c r="H19" s="14">
        <v>40</v>
      </c>
      <c r="I19" s="30">
        <v>1013</v>
      </c>
      <c r="J19" s="27">
        <f>SUMPRODUCT(ABS('All Data'!I125:I135-'All Data'!C125:C135))/$V19</f>
        <v>5.3384175405147762E-2</v>
      </c>
      <c r="K19" s="28">
        <f>IF($U19&lt;2,"N/A (n=1)",TINV(0.05,$U19-1)*SQRT($U19*SUMPRODUCT((ABS('All Data'!I125:I135-'All Data'!C125:C135)-$J19*'All Data'!C125:C135)^2)/(($U19-1)*$V19^2)))</f>
        <v>6.7445933402897257E-2</v>
      </c>
      <c r="L19" s="13">
        <v>3210.8442</v>
      </c>
      <c r="M19" s="27">
        <f>SUMPRODUCT(ABS('All Data'!J125:J135-'All Data'!E125:E135))/$W19</f>
        <v>0.10805681601525266</v>
      </c>
      <c r="N19" s="29">
        <f>IF($U19&lt;2,"N/A (n=1)",TINV(0.05,$U19-1)*SQRT($U19*SUMPRODUCT((ABS('All Data'!J125:J135-'All Data'!E125:E135)-$M19*'All Data'!E125:E135)^2)/(($U19-1)*$W19^2)))</f>
        <v>6.5920390651407604E-2</v>
      </c>
      <c r="O19" s="30" t="s">
        <v>21</v>
      </c>
      <c r="P19" s="31" t="s">
        <v>21</v>
      </c>
      <c r="Q19" s="32" t="s">
        <v>23</v>
      </c>
      <c r="U19" s="24">
        <f>COUNT('All Data'!C125:C135)</f>
        <v>11</v>
      </c>
      <c r="V19" s="24">
        <f>SUM('All Data'!C125:C135)</f>
        <v>1049</v>
      </c>
      <c r="W19" s="24">
        <f>SUM('All Data'!E125:E135)</f>
        <v>3147</v>
      </c>
    </row>
    <row r="20" spans="1:23" ht="15" customHeight="1" x14ac:dyDescent="0.4">
      <c r="A20" s="1">
        <v>18</v>
      </c>
      <c r="B20" s="25" t="s">
        <v>43</v>
      </c>
      <c r="C20" s="42">
        <v>1000</v>
      </c>
      <c r="D20" s="13">
        <v>3</v>
      </c>
      <c r="E20" s="13">
        <f>C20*D20</f>
        <v>3000</v>
      </c>
      <c r="F20" s="14">
        <v>18</v>
      </c>
      <c r="G20" s="14">
        <v>120</v>
      </c>
      <c r="H20" s="14">
        <v>40</v>
      </c>
      <c r="I20" s="30">
        <v>1004</v>
      </c>
      <c r="J20" s="27">
        <f>SUMPRODUCT(ABS('All Data'!I137:I161-'All Data'!C137:C161))/$V20</f>
        <v>6.0000000000000001E-3</v>
      </c>
      <c r="K20" s="28">
        <f>IF($U20&lt;2,"N/A (n=1)",TINV(0.05,$U20-1)*SQRT($U20*SUMPRODUCT((ABS('All Data'!I137:I161-'All Data'!C137:C161)-$J20*'All Data'!C137:C161)^2)/(($U20-1)*$V20^2)))</f>
        <v>5.3951640101776877E-3</v>
      </c>
      <c r="L20" s="13">
        <v>3249.2352999999998</v>
      </c>
      <c r="M20" s="27">
        <f>SUMPRODUCT(ABS('All Data'!J137:J161-'All Data'!E137:E161))/$W20</f>
        <v>8.3078433333333326E-2</v>
      </c>
      <c r="N20" s="29">
        <f>IF($U20&lt;2,"N/A (n=1)",TINV(0.05,$U20-1)*SQRT($U20*SUMPRODUCT((ABS('All Data'!J137:J161-'All Data'!E137:E161)-$M20*'All Data'!E137:E161)^2)/(($U20-1)*$W20^2)))</f>
        <v>8.1238308972333955E-3</v>
      </c>
      <c r="O20" s="30" t="s">
        <v>21</v>
      </c>
      <c r="P20" s="31" t="s">
        <v>21</v>
      </c>
      <c r="Q20" s="32" t="s">
        <v>23</v>
      </c>
      <c r="U20" s="24">
        <f>COUNT('All Data'!C137:C161)</f>
        <v>25</v>
      </c>
      <c r="V20" s="24">
        <f>SUM('All Data'!C137:C161)</f>
        <v>1000</v>
      </c>
      <c r="W20" s="24">
        <f>SUM('All Data'!E137:E161)</f>
        <v>3000</v>
      </c>
    </row>
    <row r="21" spans="1:23" ht="15" customHeight="1" x14ac:dyDescent="0.4">
      <c r="A21" s="1">
        <v>19</v>
      </c>
      <c r="B21" s="33" t="s">
        <v>44</v>
      </c>
      <c r="C21" s="34">
        <v>80</v>
      </c>
      <c r="D21" s="34">
        <v>3</v>
      </c>
      <c r="E21" s="13">
        <f>C21*D21</f>
        <v>240</v>
      </c>
      <c r="F21" s="40">
        <v>18</v>
      </c>
      <c r="G21" s="40">
        <v>120</v>
      </c>
      <c r="H21" s="40">
        <v>40</v>
      </c>
      <c r="I21" s="35">
        <v>80</v>
      </c>
      <c r="J21" s="36">
        <f>SUMPRODUCT(ABS('All Data'!I58:I58-'All Data'!C58:C58))/$V21</f>
        <v>0</v>
      </c>
      <c r="K21" s="37" t="str">
        <f>IF($U21&lt;2,"N/A (n=1)",TINV(0.05,$U21-1)*SQRT($U21*SUMPRODUCT((ABS('All Data'!I58:I58-'All Data'!C58:C58)-$J21*'All Data'!C58:C58)^2)/(($U21-1)*$V21^2)))</f>
        <v>N/A (n=1)</v>
      </c>
      <c r="L21" s="34">
        <v>285.35829999999999</v>
      </c>
      <c r="M21" s="36">
        <f>SUMPRODUCT(ABS('All Data'!J58:J58-'All Data'!E58:E58))/$W21</f>
        <v>0.18899291666666659</v>
      </c>
      <c r="N21" s="38" t="str">
        <f>IF($U21&lt;2,"N/A (n=1)",TINV(0.05,$U21-1)*SQRT($U21*SUMPRODUCT((ABS('All Data'!J58:J58-'All Data'!E58:E58)-$M21*'All Data'!E58:E58)^2)/(($U21-1)*$W21^2)))</f>
        <v>N/A (n=1)</v>
      </c>
      <c r="O21" s="39" t="s">
        <v>22</v>
      </c>
      <c r="P21" s="40" t="s">
        <v>22</v>
      </c>
      <c r="Q21" s="41" t="s">
        <v>37</v>
      </c>
      <c r="U21" s="24">
        <f>COUNT('All Data'!C58:C58)</f>
        <v>1</v>
      </c>
      <c r="V21" s="24">
        <f>SUM('All Data'!C58)</f>
        <v>80</v>
      </c>
      <c r="W21" s="24">
        <f>SUM('All Data'!E58:E58)</f>
        <v>240</v>
      </c>
    </row>
    <row r="22" spans="1:23" ht="15" customHeight="1" x14ac:dyDescent="0.4">
      <c r="A22" s="1">
        <v>20</v>
      </c>
      <c r="B22" s="33" t="s">
        <v>74</v>
      </c>
      <c r="C22" s="30">
        <v>30</v>
      </c>
      <c r="D22" s="31">
        <v>3</v>
      </c>
      <c r="E22" s="31">
        <v>87</v>
      </c>
      <c r="F22" s="31">
        <v>18</v>
      </c>
      <c r="G22" s="31" t="s">
        <v>73</v>
      </c>
      <c r="H22" s="32" t="s">
        <v>73</v>
      </c>
      <c r="I22" s="49">
        <v>30</v>
      </c>
      <c r="J22" s="36">
        <f>SUMPRODUCT(ABS('All Data'!I45-'All Data'!C45))/$V22</f>
        <v>0</v>
      </c>
      <c r="K22" s="37" t="str" cm="1">
        <f t="array" ref="K22">IF($U22&lt;2,"N/A (n=1)",TINV(0.05,$U22-1)*SQRT($U22*SUMPRODUCT((ABS('All Data'!I45:I45-'All Data'!C45:C45)-$J22*'All Data'!C45:C45)^2)/(($U22-1)*$V22^2)))</f>
        <v>N/A (n=1)</v>
      </c>
      <c r="L22" s="50">
        <v>85.025599999999997</v>
      </c>
      <c r="M22" s="36" cm="1">
        <f t="array" ref="M22">SUMPRODUCT(ABS('All Data'!J45:J45-'All Data'!E45:E45))/$W22</f>
        <v>2.3367792327130772E-2</v>
      </c>
      <c r="N22" s="38" t="str" cm="1">
        <f t="array" ref="N22">IF($U22&lt;2,"N/A (n=1)",TINV(0.05,$U22-1)*SQRT($U22*SUMPRODUCT((ABS('All Data'!J45:J45-'All Data'!E45:E45)-$M22*'All Data'!E45:E45)^2)/(($U22-1)*$W22^2)))</f>
        <v>N/A (n=1)</v>
      </c>
      <c r="O22" s="61" t="s">
        <v>22</v>
      </c>
      <c r="P22" s="42" t="s">
        <v>22</v>
      </c>
      <c r="Q22" s="32" t="s">
        <v>84</v>
      </c>
      <c r="U22" s="24">
        <f>COUNT('All Data'!C45:C45)</f>
        <v>1</v>
      </c>
      <c r="V22" s="24">
        <f>SUM('All Data'!C45)</f>
        <v>30</v>
      </c>
      <c r="W22" s="65">
        <f>SUM('All Data'!E45:E45)</f>
        <v>87.06</v>
      </c>
    </row>
    <row r="23" spans="1:23" ht="15" customHeight="1" x14ac:dyDescent="0.4">
      <c r="A23" s="1">
        <v>21</v>
      </c>
      <c r="B23" s="25" t="s">
        <v>45</v>
      </c>
      <c r="C23" s="42">
        <v>240</v>
      </c>
      <c r="D23" s="13">
        <v>3</v>
      </c>
      <c r="E23" s="13">
        <f t="shared" ref="E23:E28" si="0">C23*D23</f>
        <v>720</v>
      </c>
      <c r="F23" s="14">
        <v>18</v>
      </c>
      <c r="G23" s="14">
        <v>120</v>
      </c>
      <c r="H23" s="14">
        <v>40</v>
      </c>
      <c r="I23" s="30">
        <v>240</v>
      </c>
      <c r="J23" s="27">
        <f>SUMPRODUCT(ABS('All Data'!I163:I168-'All Data'!C163:C168))/$V23</f>
        <v>0</v>
      </c>
      <c r="K23" s="28">
        <f>IF($U23&lt;2,"N/A (n=1)",TINV(0.05,$U23-1)*SQRT($U23*SUMPRODUCT((ABS('All Data'!I163:I168-'All Data'!C163:C168)-$J23*'All Data'!C163:C168)^2)/(($U23-1)*$V23^2)))</f>
        <v>0</v>
      </c>
      <c r="L23" s="31">
        <v>772.41949999999997</v>
      </c>
      <c r="M23" s="27">
        <f>SUMPRODUCT(ABS('All Data'!J163:J168-'All Data'!E163:E168))/$W23</f>
        <v>7.2804861111111105E-2</v>
      </c>
      <c r="N23" s="29">
        <f>IF($U23&lt;2,"N/A (n=1)",TINV(0.05,$U23-1)*SQRT($U23*SUMPRODUCT((ABS('All Data'!J163:J168-'All Data'!E163:E168)-$M23*'All Data'!E163:E168)^2)/(($U23-1)*$W23^2)))</f>
        <v>6.8526075751662073E-3</v>
      </c>
      <c r="O23" s="30" t="s">
        <v>21</v>
      </c>
      <c r="P23" s="31" t="s">
        <v>22</v>
      </c>
      <c r="Q23" s="32" t="s">
        <v>23</v>
      </c>
      <c r="U23" s="24">
        <f>COUNT('All Data'!C163:C168)</f>
        <v>6</v>
      </c>
      <c r="V23" s="24">
        <f>SUM('All Data'!C163:C168)</f>
        <v>240</v>
      </c>
      <c r="W23" s="24">
        <f>SUM('All Data'!E163:E168)</f>
        <v>720</v>
      </c>
    </row>
    <row r="24" spans="1:23" ht="15" customHeight="1" x14ac:dyDescent="0.4">
      <c r="A24" s="1">
        <v>22</v>
      </c>
      <c r="B24" s="25" t="s">
        <v>46</v>
      </c>
      <c r="C24" s="42">
        <v>600</v>
      </c>
      <c r="D24" s="13">
        <v>3</v>
      </c>
      <c r="E24" s="13">
        <f t="shared" si="0"/>
        <v>1800</v>
      </c>
      <c r="F24" s="14">
        <v>18</v>
      </c>
      <c r="G24" s="14">
        <v>120</v>
      </c>
      <c r="H24" s="14">
        <v>40</v>
      </c>
      <c r="I24" s="30">
        <v>604</v>
      </c>
      <c r="J24" s="27">
        <f>SUMPRODUCT(ABS('All Data'!I170:I184-'All Data'!C170:C184))/$V24</f>
        <v>6.6666666666666671E-3</v>
      </c>
      <c r="K24" s="28">
        <f>IF($U24&lt;2,"N/A (n=1)",TINV(0.05,$U24-1)*SQRT($U24*SUMPRODUCT((ABS('All Data'!I170:I184-'All Data'!C170:C184)-$J24*'All Data'!C170:C184)^2)/(($U24-1)*$V24^2)))</f>
        <v>8.2183512147628434E-3</v>
      </c>
      <c r="L24" s="31">
        <v>1952.5325</v>
      </c>
      <c r="M24" s="27">
        <f>SUMPRODUCT(ABS('All Data'!J170:J184-'All Data'!E170:E184))/$W24</f>
        <v>8.4740277777777762E-2</v>
      </c>
      <c r="N24" s="29">
        <f>IF($U24&lt;2,"N/A (n=1)",TINV(0.05,$U24-1)*SQRT($U24*SUMPRODUCT((ABS('All Data'!J170:J184-'All Data'!E170:E184)-$M24*'All Data'!E170:E184)^2)/(($U24-1)*$W24^2)))</f>
        <v>9.0885021495733468E-3</v>
      </c>
      <c r="O24" s="30" t="s">
        <v>21</v>
      </c>
      <c r="P24" s="31" t="s">
        <v>21</v>
      </c>
      <c r="Q24" s="32" t="s">
        <v>37</v>
      </c>
      <c r="U24" s="24">
        <f>COUNT('All Data'!C170:C184)</f>
        <v>15</v>
      </c>
      <c r="V24" s="24">
        <f>SUM('All Data'!C170:C184)</f>
        <v>600</v>
      </c>
      <c r="W24" s="24">
        <f>SUM('All Data'!E170:E184)</f>
        <v>1800</v>
      </c>
    </row>
    <row r="25" spans="1:23" ht="15" customHeight="1" x14ac:dyDescent="0.4">
      <c r="A25" s="1">
        <v>23</v>
      </c>
      <c r="B25" s="25" t="s">
        <v>47</v>
      </c>
      <c r="C25" s="42">
        <v>330</v>
      </c>
      <c r="D25" s="13">
        <v>3</v>
      </c>
      <c r="E25" s="13">
        <f t="shared" si="0"/>
        <v>990</v>
      </c>
      <c r="F25" s="14">
        <v>18</v>
      </c>
      <c r="G25" s="14">
        <v>120</v>
      </c>
      <c r="H25" s="14">
        <v>40</v>
      </c>
      <c r="I25" s="30">
        <v>293</v>
      </c>
      <c r="J25" s="27">
        <f>SUMPRODUCT(ABS('All Data'!I211:I216-'All Data'!C211:C216))/$V25</f>
        <v>0.11212121212121212</v>
      </c>
      <c r="K25" s="28">
        <f>IF($U25&lt;2,"N/A (n=1)",TINV(0.05,$U25-1)*SQRT($U25*SUMPRODUCT((ABS('All Data'!I211:I216-'All Data'!C211:C216)-$J25*'All Data'!C211:C216)^2)/(($U25-1)*$V25^2)))</f>
        <v>8.9934399184394428E-2</v>
      </c>
      <c r="L25" s="31">
        <v>880.52009999999996</v>
      </c>
      <c r="M25" s="27">
        <f>SUMPRODUCT(ABS('All Data'!J211:J216-'All Data'!E211:E216))/$W25</f>
        <v>0.14655080808080809</v>
      </c>
      <c r="N25" s="29">
        <f>IF($U25&lt;2,"N/A (n=1)",TINV(0.05,$U25-1)*SQRT($U25*SUMPRODUCT((ABS('All Data'!J211:J216-'All Data'!E211:E216)-$M25*'All Data'!E211:E216)^2)/(($U25-1)*$W25^2)))</f>
        <v>7.9106757000796071E-2</v>
      </c>
      <c r="O25" s="30" t="s">
        <v>21</v>
      </c>
      <c r="P25" s="31" t="s">
        <v>21</v>
      </c>
      <c r="Q25" s="32" t="s">
        <v>37</v>
      </c>
      <c r="U25" s="24">
        <f>COUNT('All Data'!C211:C216)</f>
        <v>6</v>
      </c>
      <c r="V25" s="24">
        <f>SUM('All Data'!C211:C216)</f>
        <v>330</v>
      </c>
      <c r="W25" s="24">
        <f>SUM('All Data'!E211:E216)</f>
        <v>990</v>
      </c>
    </row>
    <row r="26" spans="1:23" ht="15" customHeight="1" x14ac:dyDescent="0.4">
      <c r="A26" s="1">
        <v>24</v>
      </c>
      <c r="B26" s="33" t="s">
        <v>48</v>
      </c>
      <c r="C26" s="34">
        <v>502</v>
      </c>
      <c r="D26" s="34">
        <v>3</v>
      </c>
      <c r="E26" s="13">
        <f t="shared" si="0"/>
        <v>1506</v>
      </c>
      <c r="F26" s="34">
        <v>18</v>
      </c>
      <c r="G26" s="34">
        <v>120</v>
      </c>
      <c r="H26" s="34">
        <v>40</v>
      </c>
      <c r="I26" s="35">
        <v>497</v>
      </c>
      <c r="J26" s="36">
        <f>SUMPRODUCT(ABS('All Data'!I16:I22-'All Data'!C16:C22))/$V26</f>
        <v>1.3944223107569721E-2</v>
      </c>
      <c r="K26" s="37">
        <f>IF($U26&lt;2,"N/A (n=1)",TINV(0.05,$U26-1)*SQRT($U26*SUMPRODUCT((ABS('All Data'!I16:I22-'All Data'!C16:C22)-$J26*'All Data'!C16:C22)^2)/(($U26-1)*$V26^2)))</f>
        <v>2.2914682685636671E-2</v>
      </c>
      <c r="L26" s="34">
        <v>1555.7735</v>
      </c>
      <c r="M26" s="36">
        <f>SUMPRODUCT(ABS('All Data'!J16:J22-'All Data'!E16:E22))/$W26</f>
        <v>3.9820783532536541E-2</v>
      </c>
      <c r="N26" s="38">
        <f>IF($U26&lt;2,"N/A (n=1)",TINV(0.05,$U26-1)*SQRT($U26*SUMPRODUCT((ABS('All Data'!J16:J22-'All Data'!E16:E22)-$M26*'All Data'!E16:E22)^2)/(($U26-1)*$W26^2)))</f>
        <v>1.1759567386177493E-2</v>
      </c>
      <c r="O26" s="39" t="s">
        <v>21</v>
      </c>
      <c r="P26" s="40" t="s">
        <v>21</v>
      </c>
      <c r="Q26" s="41" t="s">
        <v>23</v>
      </c>
      <c r="U26" s="24">
        <f>COUNT('All Data'!C16:C22)</f>
        <v>7</v>
      </c>
      <c r="V26" s="24">
        <f>SUM('All Data'!C16:C22)</f>
        <v>502</v>
      </c>
      <c r="W26" s="24">
        <f>SUM('All Data'!E16:E22)</f>
        <v>1506</v>
      </c>
    </row>
    <row r="27" spans="1:23" ht="15" customHeight="1" x14ac:dyDescent="0.4">
      <c r="A27" s="1">
        <v>25</v>
      </c>
      <c r="B27" s="25" t="s">
        <v>49</v>
      </c>
      <c r="C27" s="42">
        <v>600</v>
      </c>
      <c r="D27" s="13">
        <v>3</v>
      </c>
      <c r="E27" s="13">
        <f t="shared" si="0"/>
        <v>1800</v>
      </c>
      <c r="F27" s="14">
        <v>18</v>
      </c>
      <c r="G27" s="14">
        <v>120</v>
      </c>
      <c r="H27" s="14">
        <v>40</v>
      </c>
      <c r="I27" s="30">
        <v>601</v>
      </c>
      <c r="J27" s="27">
        <f>SUMPRODUCT(ABS('All Data'!I186:I200-'All Data'!C186:C200))/$V27</f>
        <v>1.1666666666666667E-2</v>
      </c>
      <c r="K27" s="28">
        <f>IF($U27&lt;2,"N/A (n=1)",TINV(0.05,$U27-1)*SQRT($U27*SUMPRODUCT((ABS('All Data'!I186:I200-'All Data'!C186:C200)-$J27*'All Data'!C186:C200)^2)/(($U27-1)*$V27^2)))</f>
        <v>7.1492889597260141E-3</v>
      </c>
      <c r="L27" s="31">
        <v>1951.3244</v>
      </c>
      <c r="M27" s="27">
        <f>SUMPRODUCT(ABS('All Data'!J186:J200-'All Data'!E186:E200))/$W27</f>
        <v>8.4069111111111108E-2</v>
      </c>
      <c r="N27" s="29">
        <f>IF($U27&lt;2,"N/A (n=1)",TINV(0.05,$U27-1)*SQRT($U27*SUMPRODUCT((ABS('All Data'!J186:J200-'All Data'!E186:E200)-$M27*'All Data'!E186:E200)^2)/(($U27-1)*$W27^2)))</f>
        <v>9.32858361615241E-3</v>
      </c>
      <c r="O27" s="30" t="s">
        <v>21</v>
      </c>
      <c r="P27" s="31" t="s">
        <v>21</v>
      </c>
      <c r="Q27" s="32" t="s">
        <v>23</v>
      </c>
      <c r="U27" s="24">
        <f>COUNT('All Data'!C186:C200)</f>
        <v>15</v>
      </c>
      <c r="V27" s="24">
        <f>SUM('All Data'!C186:C200)</f>
        <v>600</v>
      </c>
      <c r="W27" s="24">
        <f>SUM('All Data'!E186:E200)</f>
        <v>1800</v>
      </c>
    </row>
    <row r="28" spans="1:23" ht="15" customHeight="1" x14ac:dyDescent="0.4">
      <c r="A28" s="1">
        <v>26</v>
      </c>
      <c r="B28" s="25" t="s">
        <v>50</v>
      </c>
      <c r="C28" s="42">
        <v>826</v>
      </c>
      <c r="D28" s="13">
        <v>3</v>
      </c>
      <c r="E28" s="13">
        <f t="shared" si="0"/>
        <v>2478</v>
      </c>
      <c r="F28" s="14">
        <v>18</v>
      </c>
      <c r="G28" s="14">
        <v>120</v>
      </c>
      <c r="H28" s="14">
        <v>40</v>
      </c>
      <c r="I28" s="30">
        <v>818</v>
      </c>
      <c r="J28" s="27">
        <f>SUMPRODUCT(ABS('All Data'!I202:I209-'All Data'!C202:C209))/$V28</f>
        <v>9.6852300242130755E-3</v>
      </c>
      <c r="K28" s="28">
        <f>IF($U28&lt;2,"N/A (n=1)",TINV(0.05,$U28-1)*SQRT($U28*SUMPRODUCT((ABS('All Data'!I202:I209-'All Data'!C202:C209)-$J28*'All Data'!C202:C209)^2)/(($U28-1)*$V28^2)))</f>
        <v>1.4135829857042058E-2</v>
      </c>
      <c r="L28" s="31">
        <v>2636.1053999999999</v>
      </c>
      <c r="M28" s="27">
        <f>SUMPRODUCT(ABS('All Data'!J202:J209-'All Data'!E202:E209))/$W28</f>
        <v>6.38036319612591E-2</v>
      </c>
      <c r="N28" s="29">
        <f>IF($U28&lt;2,"N/A (n=1)",TINV(0.05,$U28-1)*SQRT($U28*SUMPRODUCT((ABS('All Data'!J202:J209-'All Data'!E202:E209)-$M28*'All Data'!E202:E209)^2)/(($U28-1)*$W28^2)))</f>
        <v>1.4843618986465346E-2</v>
      </c>
      <c r="O28" s="30" t="s">
        <v>21</v>
      </c>
      <c r="P28" s="31" t="s">
        <v>21</v>
      </c>
      <c r="Q28" s="32" t="s">
        <v>23</v>
      </c>
      <c r="U28" s="24">
        <f>COUNT('All Data'!C202:C209)</f>
        <v>8</v>
      </c>
      <c r="V28" s="24">
        <f>SUM('All Data'!C202:C209)</f>
        <v>826</v>
      </c>
      <c r="W28" s="24">
        <f>SUM('All Data'!E202:E209)</f>
        <v>2478</v>
      </c>
    </row>
    <row r="29" spans="1:23" ht="15" customHeight="1" x14ac:dyDescent="0.4">
      <c r="D29" s="13"/>
      <c r="E29" s="13"/>
    </row>
    <row r="30" spans="1:23" ht="15" customHeight="1" x14ac:dyDescent="0.4">
      <c r="C30" s="42"/>
      <c r="D30" s="14"/>
      <c r="E30" s="14"/>
      <c r="F30" s="14"/>
      <c r="G30" s="14"/>
      <c r="H30" s="14"/>
      <c r="I30" s="42"/>
      <c r="J30" s="97"/>
      <c r="K30" s="98"/>
      <c r="L30" s="42"/>
      <c r="M30" s="97"/>
      <c r="N30" s="98"/>
      <c r="O30" s="42"/>
      <c r="P30" s="42"/>
      <c r="Q30" s="31"/>
      <c r="U30" s="24"/>
      <c r="V30" s="24"/>
      <c r="W30" s="24"/>
    </row>
    <row r="31" spans="1:23" ht="15" customHeight="1" x14ac:dyDescent="0.4">
      <c r="C31" s="42"/>
      <c r="D31" s="14"/>
      <c r="E31" s="14"/>
      <c r="F31" s="14"/>
      <c r="G31" s="14"/>
      <c r="H31" s="14"/>
      <c r="I31" s="42"/>
      <c r="J31" s="97"/>
      <c r="K31" s="98"/>
      <c r="L31" s="42"/>
      <c r="M31" s="97"/>
      <c r="N31" s="98"/>
      <c r="O31" s="42"/>
      <c r="P31" s="42"/>
      <c r="Q31" s="31"/>
      <c r="U31" s="24"/>
      <c r="V31" s="24"/>
      <c r="W31" s="24"/>
    </row>
    <row r="32" spans="1:23" ht="15" customHeight="1" x14ac:dyDescent="0.4">
      <c r="C32" s="42"/>
      <c r="D32" s="14"/>
      <c r="E32" s="14"/>
      <c r="F32" s="14"/>
      <c r="G32" s="14"/>
      <c r="H32" s="14"/>
      <c r="I32" s="42"/>
      <c r="J32" s="97"/>
      <c r="K32" s="98"/>
      <c r="L32" s="42"/>
      <c r="M32" s="97"/>
      <c r="N32" s="98"/>
      <c r="O32" s="42"/>
      <c r="P32" s="42"/>
      <c r="Q32" s="42"/>
      <c r="U32" s="24"/>
      <c r="V32" s="24"/>
      <c r="W32" s="24"/>
    </row>
    <row r="33" spans="3:23" ht="15" customHeight="1" x14ac:dyDescent="0.4">
      <c r="C33" s="42"/>
      <c r="D33" s="14"/>
      <c r="E33" s="14"/>
      <c r="F33" s="14"/>
      <c r="G33" s="14"/>
      <c r="H33" s="14"/>
      <c r="I33" s="42"/>
      <c r="J33" s="97"/>
      <c r="K33" s="98"/>
      <c r="L33" s="42"/>
      <c r="M33" s="97"/>
      <c r="N33" s="98"/>
      <c r="O33" s="42"/>
      <c r="P33" s="42"/>
      <c r="Q33" s="42"/>
      <c r="U33" s="24"/>
      <c r="V33" s="24"/>
      <c r="W33" s="24"/>
    </row>
    <row r="34" spans="3:23" ht="15" customHeight="1" x14ac:dyDescent="0.4"/>
    <row r="35" spans="3:23" ht="15" customHeight="1" x14ac:dyDescent="0.4"/>
    <row r="36" spans="3:23" ht="15" customHeight="1" x14ac:dyDescent="0.4"/>
    <row r="37" spans="3:23" ht="15" customHeight="1" x14ac:dyDescent="0.4"/>
    <row r="38" spans="3:23" ht="15" customHeight="1" x14ac:dyDescent="0.4"/>
    <row r="39" spans="3:23" ht="15" customHeight="1" x14ac:dyDescent="0.4"/>
  </sheetData>
  <mergeCells count="3">
    <mergeCell ref="C1:H1"/>
    <mergeCell ref="I1:N1"/>
    <mergeCell ref="O1:Q1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31" sqref="A31:U34"/>
    </sheetView>
  </sheetViews>
  <sheetFormatPr defaultColWidth="8.53515625" defaultRowHeight="14.6" x14ac:dyDescent="0.4"/>
  <cols>
    <col min="1" max="1" width="24" customWidth="1"/>
    <col min="2" max="14" width="11" customWidth="1"/>
  </cols>
  <sheetData>
    <row r="1" spans="1:19" ht="15" customHeight="1" x14ac:dyDescent="0.4">
      <c r="A1" s="62" t="s">
        <v>51</v>
      </c>
    </row>
    <row r="2" spans="1:19" ht="15" customHeight="1" x14ac:dyDescent="0.4">
      <c r="A2" s="24" t="s">
        <v>82</v>
      </c>
    </row>
    <row r="4" spans="1:19" ht="45.75" customHeight="1" x14ac:dyDescent="0.4">
      <c r="A4" s="63" t="s">
        <v>2</v>
      </c>
      <c r="B4" s="63" t="s">
        <v>52</v>
      </c>
      <c r="C4" s="63" t="s">
        <v>53</v>
      </c>
      <c r="D4" s="63" t="s">
        <v>54</v>
      </c>
      <c r="E4" s="63" t="s">
        <v>55</v>
      </c>
      <c r="F4" s="64" t="s">
        <v>76</v>
      </c>
      <c r="G4" s="64" t="s">
        <v>77</v>
      </c>
      <c r="H4" s="63" t="s">
        <v>56</v>
      </c>
      <c r="I4" s="63" t="s">
        <v>57</v>
      </c>
      <c r="J4" s="64" t="s">
        <v>78</v>
      </c>
      <c r="K4" s="64" t="s">
        <v>79</v>
      </c>
      <c r="L4" s="63" t="s">
        <v>58</v>
      </c>
      <c r="M4" s="63" t="s">
        <v>57</v>
      </c>
      <c r="N4" s="88" t="s">
        <v>88</v>
      </c>
      <c r="O4" s="63" t="s">
        <v>90</v>
      </c>
      <c r="P4" s="88" t="s">
        <v>89</v>
      </c>
      <c r="Q4" s="63" t="s">
        <v>91</v>
      </c>
      <c r="R4" s="63" t="s">
        <v>92</v>
      </c>
      <c r="S4" s="63" t="s">
        <v>93</v>
      </c>
    </row>
    <row r="5" spans="1:19" ht="15" customHeight="1" x14ac:dyDescent="0.4">
      <c r="A5" s="24" t="str">
        <f>'Data Summary'!B3</f>
        <v>Adjust Myflavor</v>
      </c>
      <c r="B5" s="65">
        <f>'Data Summary'!U3</f>
        <v>11</v>
      </c>
      <c r="C5" s="65">
        <f>'Data Summary'!V3</f>
        <v>440</v>
      </c>
      <c r="D5" s="65">
        <f>MIN('All Data'!C64:C74)</f>
        <v>40</v>
      </c>
      <c r="E5" s="65">
        <f>MAX('All Data'!C64:C74)</f>
        <v>40</v>
      </c>
      <c r="F5" s="66">
        <f>'Data Summary'!J3</f>
        <v>0</v>
      </c>
      <c r="G5" s="66">
        <f>'Data Summary'!K3</f>
        <v>0</v>
      </c>
      <c r="H5" s="66">
        <f>(SUM('All Data'!I64:I74)-SUM('All Data'!C64:C74))/SUM('All Data'!C64:C74)</f>
        <v>0</v>
      </c>
      <c r="I5" s="66">
        <f>IF($B5&lt;2,"N/A",TINV(0.05,$B5-1)*SQRT($B5*SUMPRODUCT((('All Data'!I64:I74-'All Data'!C64:C74)-H5*'All Data'!C64:C74)^2)/(($B5-1)*SUM('All Data'!C64:C74)^2)))</f>
        <v>0</v>
      </c>
      <c r="J5" s="66">
        <f>'Data Summary'!M3</f>
        <v>8.9101818181818171E-2</v>
      </c>
      <c r="K5" s="66">
        <f>'Data Summary'!N3</f>
        <v>5.5238047453313802E-3</v>
      </c>
      <c r="L5" s="66">
        <f>(SUM('All Data'!J64:J74)-SUM('All Data'!E64:E74))/SUM('All Data'!E64:E74)</f>
        <v>8.9101818181818129E-2</v>
      </c>
      <c r="M5" s="66">
        <f>IF($B5&lt;2,"N/A",TINV(0.05,$B5-1)*SQRT($B5*SUMPRODUCT((('All Data'!J64:J74-'All Data'!E64:E74)-L5*'All Data'!E64:E74)^2)/(($B5-1)*SUM('All Data'!E64:E74)^2)))</f>
        <v>5.5238047453313793E-3</v>
      </c>
      <c r="N5" s="95">
        <f>SUM('All Data'!M64:M74)/(SUM('All Data'!M64:M74)+SUM('All Data'!N64:N74))</f>
        <v>1</v>
      </c>
      <c r="O5" cm="1">
        <f t="array" ref="O5">IF($B5&lt;2,"N/A",TINV(0.05,$B5-1)*SQRT($B5*SUMPRODUCT(('All Data'!M64:M74-$N5*('All Data'!M64:M74+'All Data'!N64:N74))^2)/(($B5-1)*(SUM('All Data'!M64:M74)+SUM('All Data'!N64:N74))^2)))</f>
        <v>0</v>
      </c>
      <c r="P5">
        <f>SUM('All Data'!M64:M74)/(SUM('All Data'!M64:M74)+SUM('All Data'!O64:O74))</f>
        <v>1</v>
      </c>
      <c r="Q5" cm="1">
        <f t="array" ref="Q5">IF($B5&lt;2,"N/A",TINV(0.05,$B5-1)*SQRT($B5*SUMPRODUCT(('All Data'!M64:M74-$P5*('All Data'!M64:M74+'All Data'!O64:O74))^2)/(($B5-1)*(SUM('All Data'!M64:M74)+SUM('All Data'!O64:O74))^2)))</f>
        <v>0</v>
      </c>
      <c r="R5" s="95">
        <f>2*SUM('All Data'!M64:M74)/(2*SUM('All Data'!M64:M74)+SUM('All Data'!N64:N74)+SUM('All Data'!O64:O74))</f>
        <v>1</v>
      </c>
      <c r="S5">
        <f t="array" ref="S5">IF($B5&lt;2,"N/A",TINV(0.05,$B5-1)*SQRT($B5*SUMPRODUCT((2*'All Data'!M64:M74-$R5*(2*'All Data'!M64:M74+'All Data'!N64:N74+'All Data'!O64:O74))^2)/(($B5-1)*(2*SUM('All Data'!M64:M74)+SUM('All Data'!N64:N74)+SUM('All Data'!O64:O74))^2)))</f>
        <v>0</v>
      </c>
    </row>
    <row r="6" spans="1:19" ht="15" customHeight="1" x14ac:dyDescent="0.4">
      <c r="A6" s="24" t="str">
        <f>'Data Summary'!B4</f>
        <v>Artery CL6</v>
      </c>
      <c r="B6" s="65">
        <f>'Data Summary'!U4</f>
        <v>7</v>
      </c>
      <c r="C6" s="65">
        <f>'Data Summary'!V4</f>
        <v>433</v>
      </c>
      <c r="D6" s="65">
        <f>MIN('All Data'!C76:C82)</f>
        <v>16</v>
      </c>
      <c r="E6" s="65">
        <f>MAX('All Data'!C76:C82)</f>
        <v>140</v>
      </c>
      <c r="F6" s="66">
        <f>'Data Summary'!J4</f>
        <v>6.9284064665127015E-2</v>
      </c>
      <c r="G6" s="66">
        <f>'Data Summary'!K4</f>
        <v>9.9512295331864786E-2</v>
      </c>
      <c r="H6" s="66">
        <f>(SUM('All Data'!I76:I82)-SUM('All Data'!C76:C82))/SUM('All Data'!C76:C82)</f>
        <v>-6.9284064665127015E-2</v>
      </c>
      <c r="I6" s="66">
        <f>IF($B6&lt;2,"N/A",TINV(0.05,$B6-1)*SQRT($B6*SUMPRODUCT((('All Data'!I76:I82-'All Data'!C76:C82)-H6*'All Data'!C76:C82)^2)/(($B6-1)*SUM('All Data'!C76:C82)^2)))</f>
        <v>9.9512295331864786E-2</v>
      </c>
      <c r="J6" s="66">
        <f>'Data Summary'!M4</f>
        <v>9.1963048498845262E-2</v>
      </c>
      <c r="K6" s="66">
        <f>'Data Summary'!N4</f>
        <v>0.10106321548441896</v>
      </c>
      <c r="L6" s="66">
        <f>(SUM('All Data'!J76:J82)-SUM('All Data'!E76:E82))/SUM('All Data'!E76:E82)</f>
        <v>9.7361046959198502E-3</v>
      </c>
      <c r="M6" s="66">
        <f>IF($B6&lt;2,"N/A",TINV(0.05,$B6-1)*SQRT($B6*SUMPRODUCT((('All Data'!J76:J82-'All Data'!E76:E82)-L6*'All Data'!E76:E82)^2)/(($B6-1)*SUM('All Data'!E76:E82)^2)))</f>
        <v>0.11263057618871387</v>
      </c>
      <c r="N6" s="95">
        <f>SUM('All Data'!M76:M82)/(SUM('All Data'!M76:M82)+SUM('All Data'!N76:N82))</f>
        <v>1</v>
      </c>
      <c r="O6" s="96" cm="1">
        <f t="array" ref="O6">IF($B6&lt;2,"N/A",TINV(0.05,$B6-1)*SQRT($B6*SUMPRODUCT(('All Data'!M76:M82-$N6*('All Data'!M76:M82+'All Data'!N76:N82))^2)/(($B6-1)*(SUM('All Data'!M76:M82)+SUM('All Data'!N76:N82))^2)))</f>
        <v>0</v>
      </c>
      <c r="P6" s="95">
        <f>SUM('All Data'!M76:M82)/(SUM('All Data'!M76:M82)+SUM('All Data'!O76:O82))</f>
        <v>0.93071593533487296</v>
      </c>
      <c r="Q6" s="96" cm="1">
        <f t="array" ref="Q6">IF($B6&lt;2,"N/A",TINV(0.05,$B6-1)*SQRT($B6*SUMPRODUCT(('All Data'!M76:M82-$P6*('All Data'!M76:M82+'All Data'!O76:O82))^2)/(($B6-1)*(SUM('All Data'!M76:M82)+SUM('All Data'!O76:O82))^2)))</f>
        <v>9.9512295331864745E-2</v>
      </c>
      <c r="R6" s="95">
        <f>2*SUM('All Data'!M76:M82)/(2*SUM('All Data'!M76:M82)+SUM('All Data'!N76:N82)+SUM('All Data'!O76:O82))</f>
        <v>0.96411483253588515</v>
      </c>
      <c r="S6" s="96">
        <f t="array" ref="S6">IF($B6&lt;2,"N/A",TINV(0.05,$B6-1)*SQRT($B6*SUMPRODUCT((2*'All Data'!M76:M82-$R6*(2*'All Data'!M76:M82+'All Data'!N76:N82+'All Data'!O76:O82))^2)/(($B6-1)*(2*SUM('All Data'!M76:M82)+SUM('All Data'!N76:N82)+SUM('All Data'!O76:O82))^2)))</f>
        <v>5.3391236291167744E-2</v>
      </c>
    </row>
    <row r="7" spans="1:19" ht="15" customHeight="1" x14ac:dyDescent="0.4">
      <c r="A7" s="24" t="str">
        <f>'Data Summary'!B5</f>
        <v>Breeze Pro</v>
      </c>
      <c r="B7" s="65">
        <f>'Data Summary'!U5</f>
        <v>5</v>
      </c>
      <c r="C7" s="65">
        <f>'Data Summary'!V5</f>
        <v>400</v>
      </c>
      <c r="D7" s="65">
        <f>MIN('All Data'!C39:C43)</f>
        <v>80</v>
      </c>
      <c r="E7" s="65">
        <f>MAX('All Data'!C39:C43)</f>
        <v>80</v>
      </c>
      <c r="F7" s="66">
        <f>'Data Summary'!J5</f>
        <v>7.4999999999999997E-3</v>
      </c>
      <c r="G7" s="66">
        <f>'Data Summary'!K5</f>
        <v>2.0823338288983449E-2</v>
      </c>
      <c r="H7" s="66">
        <f>(SUM('All Data'!I39:I43)-SUM('All Data'!C39:C43))/SUM('All Data'!C39:C43)</f>
        <v>-7.4999999999999997E-3</v>
      </c>
      <c r="I7" s="66">
        <f>IF($B7&lt;2,"N/A",TINV(0.05,$B7-1)*SQRT($B7*SUMPRODUCT((('All Data'!I39:I43-'All Data'!C39:C43)-H7*'All Data'!C39:C43)^2)/(($B7-1)*SUM('All Data'!C39:C43)^2)))</f>
        <v>2.0823338288983449E-2</v>
      </c>
      <c r="J7" s="66">
        <f>'Data Summary'!M5</f>
        <v>3.4191916666666676E-2</v>
      </c>
      <c r="K7" s="66">
        <f>'Data Summary'!N5</f>
        <v>1.3734479274161169E-2</v>
      </c>
      <c r="L7" s="66">
        <f>(SUM('All Data'!J39:J43)-SUM('All Data'!E39:E43))/SUM('All Data'!E39:E43)</f>
        <v>3.4191916666666579E-2</v>
      </c>
      <c r="M7" s="66">
        <f>IF($B7&lt;2,"N/A",TINV(0.05,$B7-1)*SQRT($B7*SUMPRODUCT((('All Data'!J39:J43-'All Data'!E39:E43)-L7*'All Data'!E39:E43)^2)/(($B7-1)*SUM('All Data'!E39:E43)^2)))</f>
        <v>1.3734479274161169E-2</v>
      </c>
      <c r="N7" s="95">
        <f>SUM('All Data'!M39:M43)/(SUM('All Data'!M39:M43)+SUM('All Data'!N39:N43))</f>
        <v>1</v>
      </c>
      <c r="O7" s="96" cm="1">
        <f t="array" ref="O7">IF($B7&lt;2,"N/A",TINV(0.05,$B7-1)*SQRT($B7*SUMPRODUCT(('All Data'!M39:M43-$N7*('All Data'!M39:M43+'All Data'!N39:N43))^2)/(($B7-1)*(SUM('All Data'!M39:M43)+SUM('All Data'!N39:N43))^2)))</f>
        <v>0</v>
      </c>
      <c r="P7" s="95">
        <f>SUM('All Data'!M39:M43)/(SUM('All Data'!M39:M43)+SUM('All Data'!O39:O43))</f>
        <v>0.99250000000000005</v>
      </c>
      <c r="Q7" s="96" cm="1">
        <f t="array" ref="Q7">IF($B7&lt;2,"N/A",TINV(0.05,$B7-1)*SQRT($B7*SUMPRODUCT(('All Data'!M39:M43-$P7*('All Data'!M39:M43+'All Data'!O39:O43))^2)/(($B7-1)*(SUM('All Data'!M39:M43)+SUM('All Data'!O39:O43))^2)))</f>
        <v>2.0823338288983449E-2</v>
      </c>
      <c r="R7" s="95">
        <f>2*SUM('All Data'!M39:M43)/(2*SUM('All Data'!M39:M43)+SUM('All Data'!N39:N43)+SUM('All Data'!O39:O43))</f>
        <v>0.99623588456712675</v>
      </c>
      <c r="S7" s="96">
        <f t="array" ref="S7">IF($B7&lt;2,"N/A",TINV(0.05,$B7-1)*SQRT($B7*SUMPRODUCT((2*'All Data'!M39:M43-$R7*(2*'All Data'!M39:M43+'All Data'!N39:N43+'All Data'!O39:O43))^2)/(($B7-1)*(2*SUM('All Data'!M39:M43)+SUM('All Data'!N39:N43)+SUM('All Data'!O39:O43))^2)))</f>
        <v>1.049019811192012E-2</v>
      </c>
    </row>
    <row r="8" spans="1:19" ht="15" customHeight="1" x14ac:dyDescent="0.4">
      <c r="A8" s="24" t="str">
        <f>'Data Summary'!B6</f>
        <v>EBCreate BC 5000</v>
      </c>
      <c r="B8" s="65">
        <f>'Data Summary'!U6</f>
        <v>5</v>
      </c>
      <c r="C8" s="65">
        <f>'Data Summary'!V6</f>
        <v>450</v>
      </c>
      <c r="D8" s="65">
        <f>MIN('All Data'!C84:C88)</f>
        <v>70</v>
      </c>
      <c r="E8" s="65">
        <f>MAX('All Data'!C84:C88)</f>
        <v>100</v>
      </c>
      <c r="F8" s="66">
        <f>'Data Summary'!J6</f>
        <v>8.8888888888888889E-3</v>
      </c>
      <c r="G8" s="66">
        <f>'Data Summary'!K6</f>
        <v>1.3041524438347364E-2</v>
      </c>
      <c r="H8" s="66">
        <f>(SUM('All Data'!I84:I88)-SUM('All Data'!C84:C88))/SUM('All Data'!C84:C88)</f>
        <v>-8.8888888888888889E-3</v>
      </c>
      <c r="I8" s="66">
        <f>IF($B8&lt;2,"N/A",TINV(0.05,$B8-1)*SQRT($B8*SUMPRODUCT((('All Data'!I84:I88-'All Data'!C84:C88)-H8*'All Data'!C84:C88)^2)/(($B8-1)*SUM('All Data'!C84:C88)^2)))</f>
        <v>1.3041524438347364E-2</v>
      </c>
      <c r="J8" s="66">
        <f>'Data Summary'!M6</f>
        <v>1.2941111111111101E-2</v>
      </c>
      <c r="K8" s="66">
        <f>'Data Summary'!N6</f>
        <v>8.055311413350006E-3</v>
      </c>
      <c r="L8" s="66">
        <f>(SUM('All Data'!J84:J88)-SUM('All Data'!E84:E88))/SUM('All Data'!E84:E88)</f>
        <v>6.147777777777837E-3</v>
      </c>
      <c r="M8" s="66">
        <f>IF($B8&lt;2,"N/A",TINV(0.05,$B8-1)*SQRT($B8*SUMPRODUCT((('All Data'!J84:J88-'All Data'!E84:E88)-L8*'All Data'!E84:E88)^2)/(($B8-1)*SUM('All Data'!E84:E88)^2)))</f>
        <v>1.6661811455050062E-2</v>
      </c>
      <c r="N8" s="95">
        <f>SUM('All Data'!M84:M88)/(SUM('All Data'!M84:M88)+SUM('All Data'!N84:N88))</f>
        <v>1</v>
      </c>
      <c r="O8" s="96" cm="1">
        <f t="array" ref="O8">IF($B8&lt;2,"N/A",TINV(0.05,$B8-1)*SQRT($B8*SUMPRODUCT(('All Data'!M84:M88-$N8*('All Data'!M84:M88+'All Data'!N84:N88))^2)/(($B8-1)*(SUM('All Data'!M84:M88)+SUM('All Data'!N84:N88))^2)))</f>
        <v>0</v>
      </c>
      <c r="P8" s="95">
        <f>SUM('All Data'!M84:M88)/(SUM('All Data'!M84:M88)+SUM('All Data'!O84:O88))</f>
        <v>0.99111111111111116</v>
      </c>
      <c r="Q8" s="96" cm="1">
        <f t="array" ref="Q8">IF($B8&lt;2,"N/A",TINV(0.05,$B8-1)*SQRT($B8*SUMPRODUCT(('All Data'!M84:M88-$P8*('All Data'!M84:M88+'All Data'!O84:O88))^2)/(($B8-1)*(SUM('All Data'!M84:M88)+SUM('All Data'!O84:O88))^2)))</f>
        <v>1.3041524438347359E-2</v>
      </c>
      <c r="R8" s="95">
        <f>2*SUM('All Data'!M84:M88)/(2*SUM('All Data'!M84:M88)+SUM('All Data'!N84:N88)+SUM('All Data'!O84:O88))</f>
        <v>0.9955357142857143</v>
      </c>
      <c r="S8" s="96">
        <f t="array" ref="S8">IF($B8&lt;2,"N/A",TINV(0.05,$B8-1)*SQRT($B8*SUMPRODUCT((2*'All Data'!M84:M88-$R8*(2*'All Data'!M84:M88+'All Data'!N84:N88+'All Data'!O84:O88))^2)/(($B8-1)*(2*SUM('All Data'!M84:M88)+SUM('All Data'!N84:N88)+SUM('All Data'!O84:O88))^2)))</f>
        <v>6.5791132682092796E-3</v>
      </c>
    </row>
    <row r="9" spans="1:19" ht="15" customHeight="1" x14ac:dyDescent="0.4">
      <c r="A9" s="24" t="str">
        <f>'Data Summary'!B7</f>
        <v>Elf Bar BC5000</v>
      </c>
      <c r="B9" s="65">
        <f>'Data Summary'!U7</f>
        <v>6</v>
      </c>
      <c r="C9" s="65">
        <f>'Data Summary'!V7</f>
        <v>448</v>
      </c>
      <c r="D9" s="65">
        <f>MIN('All Data'!C3:C8)</f>
        <v>48</v>
      </c>
      <c r="E9" s="65">
        <f>MAX('All Data'!C3:C8)</f>
        <v>80</v>
      </c>
      <c r="F9" s="66">
        <f>'Data Summary'!J7</f>
        <v>0</v>
      </c>
      <c r="G9" s="66">
        <f>'Data Summary'!K7</f>
        <v>0</v>
      </c>
      <c r="H9" s="66">
        <f>(SUM('All Data'!I3:I8)-SUM('All Data'!C3:C8))/SUM('All Data'!C3:C8)</f>
        <v>0</v>
      </c>
      <c r="I9" s="66">
        <f>IF($B9&lt;2,"N/A",TINV(0.05,$B9-1)*SQRT($B9*SUMPRODUCT((('All Data'!I3:I8-'All Data'!C3:C8)-H9*'All Data'!C3:C8)^2)/(($B9-1)*SUM('All Data'!C3:C8)^2)))</f>
        <v>0</v>
      </c>
      <c r="J9" s="66">
        <f>'Data Summary'!M7</f>
        <v>2.8843229166666665E-2</v>
      </c>
      <c r="K9" s="66">
        <f>'Data Summary'!N7</f>
        <v>1.5849924544731078E-2</v>
      </c>
      <c r="L9" s="66">
        <f>(SUM('All Data'!J3:J8)-SUM('All Data'!E3:E8))/SUM('All Data'!E3:E8)</f>
        <v>2.6977752976190487E-2</v>
      </c>
      <c r="M9" s="66">
        <f>IF($B9&lt;2,"N/A",TINV(0.05,$B9-1)*SQRT($B9*SUMPRODUCT((('All Data'!J3:J8-'All Data'!E3:E8)-L9*'All Data'!E3:E8)^2)/(($B9-1)*SUM('All Data'!E3:E8)^2)))</f>
        <v>1.9918303757190749E-2</v>
      </c>
      <c r="N9" s="95">
        <f>SUM('All Data'!M3:M8)/(SUM('All Data'!M3:M8)+SUM('All Data'!N3:N8))</f>
        <v>1</v>
      </c>
      <c r="O9" s="96" cm="1">
        <f t="array" ref="O9">IF($B9&lt;2,"N/A",TINV(0.05,$B9-1)*SQRT($B9*SUMPRODUCT(('All Data'!M3:M8-$N9*('All Data'!M3:M8+'All Data'!N3:N8))^2)/(($B9-1)*(SUM('All Data'!M3:M8)+SUM('All Data'!N3:N8))^2)))</f>
        <v>0</v>
      </c>
      <c r="P9" s="95">
        <f>SUM('All Data'!M3:M8)/(SUM('All Data'!M3:M8)+SUM('All Data'!O3:O8))</f>
        <v>1</v>
      </c>
      <c r="Q9" s="96" cm="1">
        <f t="array" ref="Q9">IF($B9&lt;2,"N/A",TINV(0.05,$B9-1)*SQRT($B9*SUMPRODUCT(('All Data'!M3:M8-$P9*('All Data'!M3:M8+'All Data'!O3:O8))^2)/(($B9-1)*(SUM('All Data'!M3:M8)+SUM('All Data'!O3:O8))^2)))</f>
        <v>0</v>
      </c>
      <c r="R9" s="95">
        <f>2*SUM('All Data'!M3:M8)/(2*SUM('All Data'!M3:M8)+SUM('All Data'!N3:N8)+SUM('All Data'!O3:O8))</f>
        <v>1</v>
      </c>
      <c r="S9" s="96">
        <f t="array" ref="S9">IF($B9&lt;2,"N/A",TINV(0.05,$B9-1)*SQRT($B9*SUMPRODUCT((2*'All Data'!M3:M8-$R9*(2*'All Data'!M3:M8+'All Data'!N3:N8+'All Data'!O3:O8))^2)/(($B9-1)*(2*SUM('All Data'!M3:M8)+SUM('All Data'!N3:N8)+SUM('All Data'!O3:O8))^2)))</f>
        <v>0</v>
      </c>
    </row>
    <row r="10" spans="1:19" ht="15" customHeight="1" x14ac:dyDescent="0.4">
      <c r="A10" s="24" t="str">
        <f>'Data Summary'!B8</f>
        <v>Funky Republic ti7000</v>
      </c>
      <c r="B10" s="65">
        <f>'Data Summary'!U8</f>
        <v>7</v>
      </c>
      <c r="C10" s="65">
        <f>'Data Summary'!V8</f>
        <v>560</v>
      </c>
      <c r="D10" s="65">
        <f>MIN('All Data'!C31:C37)</f>
        <v>80</v>
      </c>
      <c r="E10" s="65">
        <f>MAX('All Data'!C31:C37)</f>
        <v>80</v>
      </c>
      <c r="F10" s="66">
        <f>'Data Summary'!J8</f>
        <v>7.1428571428571426E-3</v>
      </c>
      <c r="G10" s="66">
        <f>'Data Summary'!K8</f>
        <v>1.3108456345419482E-2</v>
      </c>
      <c r="H10" s="66">
        <f>(SUM('All Data'!I31:I37)-SUM('All Data'!C31:C37))/SUM('All Data'!C31:C37)</f>
        <v>-3.5714285714285713E-3</v>
      </c>
      <c r="I10" s="66">
        <f>IF($B10&lt;2,"N/A",TINV(0.05,$B10-1)*SQRT($B10*SUMPRODUCT((('All Data'!I31:I37-'All Data'!C31:C37)-H10*'All Data'!C31:C37)^2)/(($B10-1)*SUM('All Data'!C31:C37)^2)))</f>
        <v>1.4491943759503264E-2</v>
      </c>
      <c r="J10" s="66">
        <f>'Data Summary'!M8</f>
        <v>6.7887321428571429E-2</v>
      </c>
      <c r="K10" s="66">
        <f>'Data Summary'!N8</f>
        <v>2.4107140045672961E-2</v>
      </c>
      <c r="L10" s="66">
        <f>(SUM('All Data'!J31:J37)-SUM('All Data'!E31:E37))/SUM('All Data'!E31:E37)</f>
        <v>6.7887321428571429E-2</v>
      </c>
      <c r="M10" s="66">
        <f>IF($B10&lt;2,"N/A",TINV(0.05,$B10-1)*SQRT($B10*SUMPRODUCT((('All Data'!J31:J37-'All Data'!E31:E37)-L10*'All Data'!E31:E37)^2)/(($B10-1)*SUM('All Data'!E31:E37)^2)))</f>
        <v>2.4107140045672961E-2</v>
      </c>
      <c r="N10" s="95">
        <f>SUM('All Data'!M31:M37)/(SUM('All Data'!M31:M37)+SUM('All Data'!N31:N37))</f>
        <v>0.99820788530465954</v>
      </c>
      <c r="O10" s="96" cm="1">
        <f t="array" ref="O10">IF($B10&lt;2,"N/A",TINV(0.05,$B10-1)*SQRT($B10*SUMPRODUCT(('All Data'!M31:M37-$N10*('All Data'!M31:M37+'All Data'!N31:N37))^2)/(($B10-1)*(SUM('All Data'!M31:M37)+SUM('All Data'!N31:N37))^2)))</f>
        <v>4.37342043959705E-3</v>
      </c>
      <c r="P10" s="95">
        <f>SUM('All Data'!M31:M37)/(SUM('All Data'!M31:M37)+SUM('All Data'!O31:O37))</f>
        <v>0.99464285714285716</v>
      </c>
      <c r="Q10" s="96" cm="1">
        <f t="array" ref="Q10">IF($B10&lt;2,"N/A",TINV(0.05,$B10-1)*SQRT($B10*SUMPRODUCT(('All Data'!M31:M37-$P10*('All Data'!M31:M37+'All Data'!O31:O37))^2)/(($B10-1)*(SUM('All Data'!M31:M37)+SUM('All Data'!O31:O37))^2)))</f>
        <v>1.310845634541948E-2</v>
      </c>
      <c r="R10" s="95">
        <f>2*SUM('All Data'!M31:M37)/(2*SUM('All Data'!M31:M37)+SUM('All Data'!N31:N37)+SUM('All Data'!O31:O37))</f>
        <v>0.99642218246869407</v>
      </c>
      <c r="S10" s="96">
        <f t="array" ref="S10">IF($B10&lt;2,"N/A",TINV(0.05,$B10-1)*SQRT($B10*SUMPRODUCT((2*'All Data'!M31:M37-$R10*(2*'All Data'!M31:M37+'All Data'!N31:N37+'All Data'!O31:O37))^2)/(($B10-1)*(2*SUM('All Data'!M31:M37)+SUM('All Data'!N31:N37)+SUM('All Data'!O31:O37))^2)))</f>
        <v>6.5868527742129653E-3</v>
      </c>
    </row>
    <row r="11" spans="1:19" ht="15" customHeight="1" x14ac:dyDescent="0.4">
      <c r="A11" s="24" t="str">
        <f>'Data Summary'!B9</f>
        <v>Fzzybar X20000</v>
      </c>
      <c r="B11" s="65">
        <f>'Data Summary'!U9</f>
        <v>5</v>
      </c>
      <c r="C11" s="65">
        <f>'Data Summary'!V9</f>
        <v>530</v>
      </c>
      <c r="D11" s="65">
        <f>MIN('All Data'!C90:C94)</f>
        <v>30</v>
      </c>
      <c r="E11" s="65">
        <f>MAX('All Data'!C90:C94)</f>
        <v>140</v>
      </c>
      <c r="F11" s="66">
        <f>'Data Summary'!J9</f>
        <v>7.5471698113207544E-2</v>
      </c>
      <c r="G11" s="66">
        <f>'Data Summary'!K9</f>
        <v>0.12520717122674596</v>
      </c>
      <c r="H11" s="66">
        <f>(SUM('All Data'!I90:I94)-SUM('All Data'!C90:C94))/SUM('All Data'!C90:C94)</f>
        <v>-7.5471698113207544E-2</v>
      </c>
      <c r="I11" s="66">
        <f>IF($B11&lt;2,"N/A",TINV(0.05,$B11-1)*SQRT($B11*SUMPRODUCT((('All Data'!I90:I94-'All Data'!C90:C94)-H11*'All Data'!C90:C94)^2)/(($B11-1)*SUM('All Data'!C90:C94)^2)))</f>
        <v>0.12520717122674596</v>
      </c>
      <c r="J11" s="66">
        <f>'Data Summary'!M9</f>
        <v>6.8616037735849067E-2</v>
      </c>
      <c r="K11" s="66">
        <f>'Data Summary'!N9</f>
        <v>7.6269101867805597E-2</v>
      </c>
      <c r="L11" s="66">
        <f>(SUM('All Data'!J90:J94)-SUM('All Data'!E90:E94))/SUM('All Data'!E90:E94)</f>
        <v>-4.7239622641509068E-3</v>
      </c>
      <c r="M11" s="66">
        <f>IF($B11&lt;2,"N/A",TINV(0.05,$B11-1)*SQRT($B11*SUMPRODUCT((('All Data'!J90:J94-'All Data'!E90:E94)-L11*'All Data'!E90:E94)^2)/(($B11-1)*SUM('All Data'!E90:E94)^2)))</f>
        <v>0.12970600028630913</v>
      </c>
      <c r="N11" s="95">
        <f>SUM('All Data'!M90:M94)/(SUM('All Data'!M90:M94)+SUM('All Data'!N90:N94))</f>
        <v>1</v>
      </c>
      <c r="O11" s="96" cm="1">
        <f t="array" ref="O11">IF($B11&lt;2,"N/A",TINV(0.05,$B11-1)*SQRT($B11*SUMPRODUCT(('All Data'!M90:M94-$N11*('All Data'!M90:M94+'All Data'!N90:N94))^2)/(($B11-1)*(SUM('All Data'!M90:M94)+SUM('All Data'!N90:N94))^2)))</f>
        <v>0</v>
      </c>
      <c r="P11" s="95">
        <f>SUM('All Data'!M90:M94)/(SUM('All Data'!M90:M94)+SUM('All Data'!O90:O94))</f>
        <v>0.92452830188679247</v>
      </c>
      <c r="Q11" s="96" cm="1">
        <f t="array" ref="Q11">IF($B11&lt;2,"N/A",TINV(0.05,$B11-1)*SQRT($B11*SUMPRODUCT(('All Data'!M90:M94-$P11*('All Data'!M90:M94+'All Data'!O90:O94))^2)/(($B11-1)*(SUM('All Data'!M90:M94)+SUM('All Data'!O90:O94))^2)))</f>
        <v>0.12520717122674596</v>
      </c>
      <c r="R11" s="95">
        <f>2*SUM('All Data'!M90:M94)/(2*SUM('All Data'!M90:M94)+SUM('All Data'!N90:N94)+SUM('All Data'!O90:O94))</f>
        <v>0.96078431372549022</v>
      </c>
      <c r="S11" s="96">
        <f t="array" ref="S11">IF($B11&lt;2,"N/A",TINV(0.05,$B11-1)*SQRT($B11*SUMPRODUCT((2*'All Data'!M90:M94-$R11*(2*'All Data'!M90:M94+'All Data'!N90:N94+'All Data'!O90:O94))^2)/(($B11-1)*(2*SUM('All Data'!M90:M94)+SUM('All Data'!N90:N94)+SUM('All Data'!O90:O94))^2)))</f>
        <v>6.7609946938856108E-2</v>
      </c>
    </row>
    <row r="12" spans="1:19" ht="15" customHeight="1" x14ac:dyDescent="0.4">
      <c r="A12" s="24" t="str">
        <f>'Data Summary'!B10</f>
        <v>Geek Bar Pulse</v>
      </c>
      <c r="B12" s="65">
        <f>'Data Summary'!U10</f>
        <v>5</v>
      </c>
      <c r="C12" s="65">
        <f>'Data Summary'!V10</f>
        <v>400</v>
      </c>
      <c r="D12" s="65">
        <f>MIN('All Data'!C10:C14)</f>
        <v>80</v>
      </c>
      <c r="E12" s="65">
        <f>MAX('All Data'!C10:C14)</f>
        <v>80</v>
      </c>
      <c r="F12" s="66">
        <f>'Data Summary'!J10</f>
        <v>7.4999999999999997E-3</v>
      </c>
      <c r="G12" s="66">
        <f>'Data Summary'!K10</f>
        <v>1.3882225525988967E-2</v>
      </c>
      <c r="H12" s="66">
        <f>(SUM('All Data'!I10:I14)-SUM('All Data'!C10:C14))/SUM('All Data'!C10:C14)</f>
        <v>7.4999999999999997E-3</v>
      </c>
      <c r="I12" s="66">
        <f>IF($B12&lt;2,"N/A",TINV(0.05,$B12-1)*SQRT($B12*SUMPRODUCT((('All Data'!I10:I14-'All Data'!C10:C14)-H12*'All Data'!C10:C14)^2)/(($B12-1)*SUM('All Data'!C10:C14)^2)))</f>
        <v>1.3882225525988967E-2</v>
      </c>
      <c r="J12" s="66">
        <f>'Data Summary'!M10</f>
        <v>4.3925166666666654E-2</v>
      </c>
      <c r="K12" s="66">
        <f>'Data Summary'!N10</f>
        <v>7.2025225521070739E-3</v>
      </c>
      <c r="L12" s="66">
        <f>(SUM('All Data'!J10:J14)-SUM('All Data'!E10:E14))/SUM('All Data'!E10:E14)</f>
        <v>4.3925166666666654E-2</v>
      </c>
      <c r="M12" s="66">
        <f>IF($B12&lt;2,"N/A",TINV(0.05,$B12-1)*SQRT($B12*SUMPRODUCT((('All Data'!J10:J14-'All Data'!E10:E14)-L12*'All Data'!E10:E14)^2)/(($B12-1)*SUM('All Data'!E10:E14)^2)))</f>
        <v>7.2025225521070739E-3</v>
      </c>
      <c r="N12" s="95">
        <f>SUM('All Data'!M10:M14)/(SUM('All Data'!M10:M14)+SUM('All Data'!N10:N14))</f>
        <v>0.99255583126550873</v>
      </c>
      <c r="O12" s="96" cm="1">
        <f t="array" ref="O12">IF($B12&lt;2,"N/A",TINV(0.05,$B12-1)*SQRT($B12*SUMPRODUCT(('All Data'!M10:M14-$N12*('All Data'!M10:M14+'All Data'!N10:N14))^2)/(($B12-1)*(SUM('All Data'!M10:M14)+SUM('All Data'!N10:N14))^2)))</f>
        <v>1.3676311560062731E-2</v>
      </c>
      <c r="P12" s="95">
        <f>SUM('All Data'!M10:M14)/(SUM('All Data'!M10:M14)+SUM('All Data'!O10:O14))</f>
        <v>1</v>
      </c>
      <c r="Q12" s="96" cm="1">
        <f t="array" ref="Q12">IF($B12&lt;2,"N/A",TINV(0.05,$B12-1)*SQRT($B12*SUMPRODUCT(('All Data'!M10:M14-$P12*('All Data'!M10:M14+'All Data'!O10:O14))^2)/(($B12-1)*(SUM('All Data'!M10:M14)+SUM('All Data'!O10:O14))^2)))</f>
        <v>0</v>
      </c>
      <c r="R12" s="95">
        <f>2*SUM('All Data'!M10:M14)/(2*SUM('All Data'!M10:M14)+SUM('All Data'!N10:N14)+SUM('All Data'!O10:O14))</f>
        <v>0.99626400996264008</v>
      </c>
      <c r="S12" s="96">
        <f t="array" ref="S12">IF($B12&lt;2,"N/A",TINV(0.05,$B12-1)*SQRT($B12*SUMPRODUCT((2*'All Data'!M10:M14-$R12*(2*'All Data'!M10:M14+'All Data'!N10:N14+'All Data'!O10:O14))^2)/(($B12-1)*(2*SUM('All Data'!M10:M14)+SUM('All Data'!N10:N14)+SUM('All Data'!O10:O14))^2)))</f>
        <v>6.8893457881580803E-3</v>
      </c>
    </row>
    <row r="13" spans="1:19" ht="15" customHeight="1" x14ac:dyDescent="0.4">
      <c r="A13" s="24" t="str">
        <f>'Data Summary'!B11</f>
        <v>Hyde IQ5000</v>
      </c>
      <c r="B13" s="65">
        <f>'Data Summary'!U11</f>
        <v>8</v>
      </c>
      <c r="C13" s="65">
        <f>'Data Summary'!V11</f>
        <v>536</v>
      </c>
      <c r="D13" s="65">
        <f>MIN('All Data'!C96:C103)</f>
        <v>16</v>
      </c>
      <c r="E13" s="65">
        <f>MAX('All Data'!C96:C103)</f>
        <v>80</v>
      </c>
      <c r="F13" s="66">
        <f>'Data Summary'!J11</f>
        <v>6.1567164179104475E-2</v>
      </c>
      <c r="G13" s="66">
        <f>'Data Summary'!K11</f>
        <v>5.7005772692634633E-2</v>
      </c>
      <c r="H13" s="66">
        <f>(SUM('All Data'!I96:I103)-SUM('All Data'!C96:C103))/SUM('All Data'!C96:C103)</f>
        <v>-5.7835820895522388E-2</v>
      </c>
      <c r="I13" s="66">
        <f>IF($B13&lt;2,"N/A",TINV(0.05,$B13-1)*SQRT($B13*SUMPRODUCT((('All Data'!I96:I103-'All Data'!C96:C103)-H13*'All Data'!C96:C103)^2)/(($B13-1)*SUM('All Data'!C96:C103)^2)))</f>
        <v>6.0594421396292786E-2</v>
      </c>
      <c r="J13" s="66">
        <f>'Data Summary'!M11</f>
        <v>0.11488687810945274</v>
      </c>
      <c r="K13" s="66">
        <f>'Data Summary'!N11</f>
        <v>7.0429889886480135E-2</v>
      </c>
      <c r="L13" s="66">
        <f>(SUM('All Data'!J96:J103)-SUM('All Data'!E96:E103))/SUM('All Data'!E96:E103)</f>
        <v>-9.7659266169154255E-2</v>
      </c>
      <c r="M13" s="66">
        <f>IF($B13&lt;2,"N/A",TINV(0.05,$B13-1)*SQRT($B13*SUMPRODUCT((('All Data'!J96:J103-'All Data'!E96:E103)-L13*'All Data'!E96:E103)^2)/(($B13-1)*SUM('All Data'!E96:E103)^2)))</f>
        <v>9.0764042842491136E-2</v>
      </c>
      <c r="N13" s="95">
        <f>SUM('All Data'!M96:M103)/(SUM('All Data'!M96:M103)+SUM('All Data'!N96:N103))</f>
        <v>0.99801980198019802</v>
      </c>
      <c r="O13" s="96" cm="1">
        <f t="array" ref="O13">IF($B13&lt;2,"N/A",TINV(0.05,$B13-1)*SQRT($B13*SUMPRODUCT(('All Data'!M96:M103-$N13*('All Data'!M96:M103+'All Data'!N96:N103))^2)/(($B13-1)*(SUM('All Data'!M96:M103)+SUM('All Data'!N96:N103))^2)))</f>
        <v>4.5275116066752288E-3</v>
      </c>
      <c r="P13" s="95">
        <f>SUM('All Data'!M96:M103)/(SUM('All Data'!M96:M103)+SUM('All Data'!O96:O103))</f>
        <v>0.94029850746268662</v>
      </c>
      <c r="Q13" s="96" cm="1">
        <f t="array" ref="Q13">IF($B13&lt;2,"N/A",TINV(0.05,$B13-1)*SQRT($B13*SUMPRODUCT(('All Data'!M96:M103-$P13*('All Data'!M96:M103+'All Data'!O96:O103))^2)/(($B13-1)*(SUM('All Data'!M96:M103)+SUM('All Data'!O96:O103))^2)))</f>
        <v>5.8668541485113926E-2</v>
      </c>
      <c r="R13" s="95">
        <f>2*SUM('All Data'!M96:M103)/(2*SUM('All Data'!M96:M103)+SUM('All Data'!N96:N103)+SUM('All Data'!O96:O103))</f>
        <v>0.96829971181556196</v>
      </c>
      <c r="S13" s="96">
        <f t="array" ref="S13">IF($B13&lt;2,"N/A",TINV(0.05,$B13-1)*SQRT($B13*SUMPRODUCT((2*'All Data'!M96:M103-$R13*(2*'All Data'!M96:M103+'All Data'!N96:N103+'All Data'!O96:O103))^2)/(($B13-1)*(2*SUM('All Data'!M96:M103)+SUM('All Data'!N96:N103)+SUM('All Data'!O96:O103))^2)))</f>
        <v>3.0332144236717123E-2</v>
      </c>
    </row>
    <row r="14" spans="1:19" ht="15" customHeight="1" x14ac:dyDescent="0.4">
      <c r="A14" s="24" t="str">
        <f>'Data Summary'!B12</f>
        <v>Hyde N-bar</v>
      </c>
      <c r="B14" s="65">
        <f>'Data Summary'!U12</f>
        <v>3</v>
      </c>
      <c r="C14" s="65">
        <f>'Data Summary'!V12</f>
        <v>240</v>
      </c>
      <c r="D14" s="65">
        <f>MIN('All Data'!C105:C107)</f>
        <v>80</v>
      </c>
      <c r="E14" s="65">
        <f>MAX('All Data'!C105:C107)</f>
        <v>80</v>
      </c>
      <c r="F14" s="66">
        <f>'Data Summary'!J12</f>
        <v>1.6666666666666666E-2</v>
      </c>
      <c r="G14" s="66">
        <f>'Data Summary'!K12</f>
        <v>7.171087882915772E-2</v>
      </c>
      <c r="H14" s="66">
        <f>(SUM('All Data'!I105:I107)-SUM('All Data'!C105:C107))/SUM('All Data'!C105:C107)</f>
        <v>-1.6666666666666666E-2</v>
      </c>
      <c r="I14" s="66">
        <f>IF($B14&lt;2,"N/A",TINV(0.05,$B14-1)*SQRT($B14*SUMPRODUCT((('All Data'!I105:I107-'All Data'!C105:C107)-H14*'All Data'!C105:C107)^2)/(($B14-1)*SUM('All Data'!C105:C107)^2)))</f>
        <v>7.171087882915772E-2</v>
      </c>
      <c r="J14" s="66">
        <f>'Data Summary'!M12</f>
        <v>8.9564861111111047E-2</v>
      </c>
      <c r="K14" s="66">
        <f>'Data Summary'!N12</f>
        <v>9.3785673326711991E-2</v>
      </c>
      <c r="L14" s="66">
        <f>(SUM('All Data'!J105:J107)-SUM('All Data'!E105:E107))/SUM('All Data'!E105:E107)</f>
        <v>5.8768749999999967E-2</v>
      </c>
      <c r="M14" s="66">
        <f>IF($B14&lt;2,"N/A",TINV(0.05,$B14-1)*SQRT($B14*SUMPRODUCT((('All Data'!J105:J107-'All Data'!E105:E107)-L14*'All Data'!E105:E107)^2)/(($B14-1)*SUM('All Data'!E105:E107)^2)))</f>
        <v>0.22600872797114005</v>
      </c>
      <c r="N14" s="95">
        <f>SUM('All Data'!M105:M107)/(SUM('All Data'!M105:M107)+SUM('All Data'!N105:N107))</f>
        <v>1</v>
      </c>
      <c r="O14" s="96" cm="1">
        <f t="array" ref="O14">IF($B14&lt;2,"N/A",TINV(0.05,$B14-1)*SQRT($B14*SUMPRODUCT(('All Data'!M105:M107-$N14*('All Data'!M105:M107+'All Data'!N105:N107))^2)/(($B14-1)*(SUM('All Data'!M105:M107)+SUM('All Data'!N105:N107))^2)))</f>
        <v>0</v>
      </c>
      <c r="P14" s="95">
        <f>SUM('All Data'!M105:M107)/(SUM('All Data'!M105:M107)+SUM('All Data'!O105:O107))</f>
        <v>0.98333333333333328</v>
      </c>
      <c r="Q14" s="96" cm="1">
        <f t="array" ref="Q14">IF($B14&lt;2,"N/A",TINV(0.05,$B14-1)*SQRT($B14*SUMPRODUCT(('All Data'!M105:M107-$P14*('All Data'!M105:M107+'All Data'!O105:O107))^2)/(($B14-1)*(SUM('All Data'!M105:M107)+SUM('All Data'!O105:O107))^2)))</f>
        <v>7.171087882915772E-2</v>
      </c>
      <c r="R14" s="95">
        <f>2*SUM('All Data'!M105:M107)/(2*SUM('All Data'!M105:M107)+SUM('All Data'!N105:N107)+SUM('All Data'!O105:O107))</f>
        <v>0.99159663865546221</v>
      </c>
      <c r="S14" s="96">
        <f t="array" ref="S14">IF($B14&lt;2,"N/A",TINV(0.05,$B14-1)*SQRT($B14*SUMPRODUCT((2*'All Data'!M105:M107-$R14*(2*'All Data'!M105:M107+'All Data'!N105:N107+'All Data'!O105:O107))^2)/(($B14-1)*(2*SUM('All Data'!M105:M107)+SUM('All Data'!N105:N107)+SUM('All Data'!O105:O107))^2)))</f>
        <v>3.6460583826702475E-2</v>
      </c>
    </row>
    <row r="15" spans="1:19" ht="15" customHeight="1" x14ac:dyDescent="0.4">
      <c r="A15" s="24" t="str">
        <f>'Data Summary'!B13</f>
        <v>Hyde Rebel</v>
      </c>
      <c r="B15" s="65">
        <f>'Data Summary'!U13</f>
        <v>5</v>
      </c>
      <c r="C15" s="65">
        <f>'Data Summary'!V13</f>
        <v>275</v>
      </c>
      <c r="D15" s="65">
        <f>MIN('All Data'!C109:C113)</f>
        <v>35</v>
      </c>
      <c r="E15" s="65">
        <f>MAX('All Data'!C109:C113)</f>
        <v>80</v>
      </c>
      <c r="F15" s="66">
        <f>'Data Summary'!J13</f>
        <v>2.181818181818182E-2</v>
      </c>
      <c r="G15" s="66">
        <f>'Data Summary'!K13</f>
        <v>2.8596061803234537E-2</v>
      </c>
      <c r="H15" s="66">
        <f>(SUM('All Data'!I109:I113)-SUM('All Data'!C109:C113))/SUM('All Data'!C109:C113)</f>
        <v>-1.4545454545454545E-2</v>
      </c>
      <c r="I15" s="66">
        <f>IF($B15&lt;2,"N/A",TINV(0.05,$B15-1)*SQRT($B15*SUMPRODUCT((('All Data'!I109:I113-'All Data'!C109:C113)-H15*'All Data'!C109:C113)^2)/(($B15-1)*SUM('All Data'!C109:C113)^2)))</f>
        <v>3.6479680103872349E-2</v>
      </c>
      <c r="J15" s="66">
        <f>'Data Summary'!M13</f>
        <v>3.6795757575757572E-2</v>
      </c>
      <c r="K15" s="66">
        <f>'Data Summary'!N13</f>
        <v>2.9677878324783066E-2</v>
      </c>
      <c r="L15" s="66">
        <f>(SUM('All Data'!J109:J113)-SUM('All Data'!E109:E113))/SUM('All Data'!E109:E113)</f>
        <v>3.6795757575757419E-2</v>
      </c>
      <c r="M15" s="66">
        <f>IF($B15&lt;2,"N/A",TINV(0.05,$B15-1)*SQRT($B15*SUMPRODUCT((('All Data'!J109:J113-'All Data'!E109:E113)-L15*'All Data'!E109:E113)^2)/(($B15-1)*SUM('All Data'!E109:E113)^2)))</f>
        <v>2.9677878324783039E-2</v>
      </c>
      <c r="N15" s="95">
        <f>SUM('All Data'!M109:M113)/(SUM('All Data'!M109:M113)+SUM('All Data'!N109:N113))</f>
        <v>0.99630996309963105</v>
      </c>
      <c r="O15" s="96" cm="1">
        <f t="array" ref="O15">IF($B15&lt;2,"N/A",TINV(0.05,$B15-1)*SQRT($B15*SUMPRODUCT(('All Data'!M109:M113-$N15*('All Data'!M109:M113+'All Data'!N109:N113))^2)/(($B15-1)*(SUM('All Data'!M109:M113)+SUM('All Data'!N109:N113))^2)))</f>
        <v>9.119772761023371E-3</v>
      </c>
      <c r="P15" s="95">
        <f>SUM('All Data'!M109:M113)/(SUM('All Data'!M109:M113)+SUM('All Data'!O109:O113))</f>
        <v>0.98181818181818181</v>
      </c>
      <c r="Q15" s="96" cm="1">
        <f t="array" ref="Q15">IF($B15&lt;2,"N/A",TINV(0.05,$B15-1)*SQRT($B15*SUMPRODUCT(('All Data'!M109:M113-$P15*('All Data'!M109:M113+'All Data'!O109:O113))^2)/(($B15-1)*(SUM('All Data'!M109:M113)+SUM('All Data'!O109:O113))^2)))</f>
        <v>3.1495185464179495E-2</v>
      </c>
      <c r="R15" s="95">
        <f>2*SUM('All Data'!M109:M113)/(2*SUM('All Data'!M109:M113)+SUM('All Data'!N109:N113)+SUM('All Data'!O109:O113))</f>
        <v>0.98901098901098905</v>
      </c>
      <c r="S15" s="96">
        <f t="array" ref="S15">IF($B15&lt;2,"N/A",TINV(0.05,$B15-1)*SQRT($B15*SUMPRODUCT((2*'All Data'!M109:M113-$R15*(2*'All Data'!M109:M113+'All Data'!N109:N113+'All Data'!O109:O113))^2)/(($B15-1)*(2*SUM('All Data'!M109:M113)+SUM('All Data'!N109:N113)+SUM('All Data'!O109:O113))^2)))</f>
        <v>1.457917441106661E-2</v>
      </c>
    </row>
    <row r="16" spans="1:19" ht="15" customHeight="1" x14ac:dyDescent="0.4">
      <c r="A16" s="24" t="str">
        <f>'Data Summary'!B14</f>
        <v>Juul</v>
      </c>
      <c r="B16" s="65">
        <f>'Data Summary'!U14</f>
        <v>3</v>
      </c>
      <c r="C16" s="65">
        <f>'Data Summary'!V14</f>
        <v>185</v>
      </c>
      <c r="D16" s="65">
        <f>MIN('All Data'!C54:C56)</f>
        <v>25</v>
      </c>
      <c r="E16" s="65">
        <f>MAX('All Data'!C54:C56)</f>
        <v>80</v>
      </c>
      <c r="F16" s="66">
        <f>'Data Summary'!J14</f>
        <v>0</v>
      </c>
      <c r="G16" s="66">
        <f>'Data Summary'!K14</f>
        <v>0</v>
      </c>
      <c r="H16" s="66">
        <f>(SUM('All Data'!I54:I56)-SUM('All Data'!C54:C56))/SUM('All Data'!C54:C56)</f>
        <v>0</v>
      </c>
      <c r="I16" s="66">
        <f>IF($B16&lt;2,"N/A",TINV(0.05,$B16-1)*SQRT($B16*SUMPRODUCT((('All Data'!I54:I56-'All Data'!C54:C56)-H16*'All Data'!C54:C56)^2)/(($B16-1)*SUM('All Data'!C54:C56)^2)))</f>
        <v>0</v>
      </c>
      <c r="J16" s="66">
        <f>'Data Summary'!M14</f>
        <v>7.3578378378378198E-3</v>
      </c>
      <c r="K16" s="66">
        <f>'Data Summary'!N14</f>
        <v>1.7134967082595157E-2</v>
      </c>
      <c r="L16" s="66">
        <f>(SUM('All Data'!J54:J56)-SUM('All Data'!E54:E56))/SUM('All Data'!E54:E56)</f>
        <v>-7.3578378378377175E-3</v>
      </c>
      <c r="M16" s="66">
        <f>IF($B16&lt;2,"N/A",TINV(0.05,$B16-1)*SQRT($B16*SUMPRODUCT((('All Data'!J54:J56-'All Data'!E54:E56)-L16*'All Data'!E54:E56)^2)/(($B16-1)*SUM('All Data'!E54:E56)^2)))</f>
        <v>1.713496708259514E-2</v>
      </c>
      <c r="N16" s="95">
        <f>SUM('All Data'!M54:M56)/(SUM('All Data'!M54:M56)+SUM('All Data'!N54:N56))</f>
        <v>1</v>
      </c>
      <c r="O16" s="96" cm="1">
        <f t="array" ref="O16">IF($B16&lt;2,"N/A",TINV(0.05,$B16-1)*SQRT($B16*SUMPRODUCT(('All Data'!M54:M56-$N16*('All Data'!M54:M56+'All Data'!N54:N56))^2)/(($B16-1)*(SUM('All Data'!M54:M56)+SUM('All Data'!N54:N56))^2)))</f>
        <v>0</v>
      </c>
      <c r="P16" s="95">
        <f>SUM('All Data'!M54:M56)/(SUM('All Data'!M54:M56)+SUM('All Data'!O54:O56))</f>
        <v>1</v>
      </c>
      <c r="Q16" s="96" cm="1">
        <f t="array" ref="Q16">IF($B16&lt;2,"N/A",TINV(0.05,$B16-1)*SQRT($B16*SUMPRODUCT(('All Data'!M54:M56-$P16*('All Data'!M54:M56+'All Data'!O54:O56))^2)/(($B16-1)*(SUM('All Data'!M54:M56)+SUM('All Data'!O54:O56))^2)))</f>
        <v>0</v>
      </c>
      <c r="R16" s="95">
        <f>2*SUM('All Data'!M54:M56)/(2*SUM('All Data'!M54:M56)+SUM('All Data'!N54:N56)+SUM('All Data'!O54:O56))</f>
        <v>1</v>
      </c>
      <c r="S16" s="96">
        <f t="array" ref="S16">IF($B16&lt;2,"N/A",TINV(0.05,$B16-1)*SQRT($B16*SUMPRODUCT((2*'All Data'!M54:M56-$R16*(2*'All Data'!M54:M56+'All Data'!N54:N56+'All Data'!O54:O56))^2)/(($B16-1)*(2*SUM('All Data'!M54:M56)+SUM('All Data'!N54:N56)+SUM('All Data'!O54:O56))^2)))</f>
        <v>0</v>
      </c>
    </row>
    <row r="17" spans="1:19" ht="15" customHeight="1" x14ac:dyDescent="0.4">
      <c r="A17" s="24" t="str">
        <f>'Data Summary'!B15</f>
        <v>Kangvape Speedy Beast X</v>
      </c>
      <c r="B17" s="65">
        <f>'Data Summary'!U15</f>
        <v>9</v>
      </c>
      <c r="C17" s="65">
        <f>'Data Summary'!V15</f>
        <v>360</v>
      </c>
      <c r="D17" s="65">
        <f>MIN('All Data'!C115:C123)</f>
        <v>40</v>
      </c>
      <c r="E17" s="65">
        <f>MAX('All Data'!C115:C123)</f>
        <v>40</v>
      </c>
      <c r="F17" s="66">
        <f>'Data Summary'!J15</f>
        <v>1.3888888888888888E-2</v>
      </c>
      <c r="G17" s="66">
        <f>'Data Summary'!K15</f>
        <v>2.5622268168935196E-2</v>
      </c>
      <c r="H17" s="66">
        <f>(SUM('All Data'!I115:I123)-SUM('All Data'!C115:C123))/SUM('All Data'!C115:C123)</f>
        <v>-8.3333333333333332E-3</v>
      </c>
      <c r="I17" s="66">
        <f>IF($B17&lt;2,"N/A",TINV(0.05,$B17-1)*SQRT($B17*SUMPRODUCT((('All Data'!I115:I123-'All Data'!C115:C123)-H17*'All Data'!C115:C123)^2)/(($B17-1)*SUM('All Data'!C115:C123)^2)))</f>
        <v>2.7176519357451443E-2</v>
      </c>
      <c r="J17" s="66">
        <f>'Data Summary'!M15</f>
        <v>3.3045925925925937E-2</v>
      </c>
      <c r="K17" s="66">
        <f>'Data Summary'!N15</f>
        <v>3.5206240442425547E-2</v>
      </c>
      <c r="L17" s="66">
        <f>(SUM('All Data'!J115:J123)-SUM('All Data'!E115:E123))/SUM('All Data'!E115:E123)</f>
        <v>-1.6354074074074014E-2</v>
      </c>
      <c r="M17" s="66">
        <f>IF($B17&lt;2,"N/A",TINV(0.05,$B17-1)*SQRT($B17*SUMPRODUCT((('All Data'!J115:J123-'All Data'!E115:E123)-L17*'All Data'!E115:E123)^2)/(($B17-1)*SUM('All Data'!E115:E123)^2)))</f>
        <v>4.2279802440155521E-2</v>
      </c>
      <c r="N17" s="95">
        <f>SUM('All Data'!M115:M123)/(SUM('All Data'!M115:M123)+SUM('All Data'!N115:N123))</f>
        <v>0.99719887955182074</v>
      </c>
      <c r="O17" s="96" cm="1">
        <f t="array" ref="O17">IF($B17&lt;2,"N/A",TINV(0.05,$B17-1)*SQRT($B17*SUMPRODUCT(('All Data'!M115:M123-$N17*('All Data'!M115:M123+'All Data'!N115:N123))^2)/(($B17-1)*(SUM('All Data'!M115:M123)+SUM('All Data'!N115:N123))^2)))</f>
        <v>6.4326558140412257E-3</v>
      </c>
      <c r="P17" s="95">
        <f>SUM('All Data'!M115:M123)/(SUM('All Data'!M115:M123)+SUM('All Data'!O115:O123))</f>
        <v>0.98888888888888893</v>
      </c>
      <c r="Q17" s="96" cm="1">
        <f t="array" ref="Q17">IF($B17&lt;2,"N/A",TINV(0.05,$B17-1)*SQRT($B17*SUMPRODUCT(('All Data'!M115:M123-$P17*('All Data'!M115:M123+'All Data'!O115:O123))^2)/(($B17-1)*(SUM('All Data'!M115:M123)+SUM('All Data'!O115:O123))^2)))</f>
        <v>2.5622268168935196E-2</v>
      </c>
      <c r="R17" s="95">
        <f>2*SUM('All Data'!M115:M123)/(2*SUM('All Data'!M115:M123)+SUM('All Data'!N115:N123)+SUM('All Data'!O115:O123))</f>
        <v>0.99302649930264997</v>
      </c>
      <c r="S17" s="96">
        <f t="array" ref="S17">IF($B17&lt;2,"N/A",TINV(0.05,$B17-1)*SQRT($B17*SUMPRODUCT((2*'All Data'!M115:M123-$R17*(2*'All Data'!M115:M123+'All Data'!N115:N123+'All Data'!O115:O123))^2)/(($B17-1)*(2*SUM('All Data'!M115:M123)+SUM('All Data'!N115:N123)+SUM('All Data'!O115:O123))^2)))</f>
        <v>1.2948918872579294E-2</v>
      </c>
    </row>
    <row r="18" spans="1:19" ht="15" customHeight="1" x14ac:dyDescent="0.4">
      <c r="A18" s="87" t="s">
        <v>75</v>
      </c>
      <c r="B18" s="65">
        <f>'Data Summary'!U16</f>
        <v>1</v>
      </c>
      <c r="C18" s="65">
        <f>'Data Summary'!V16</f>
        <v>30</v>
      </c>
      <c r="D18" s="65">
        <f>MIN('All Data'!C60)</f>
        <v>30</v>
      </c>
      <c r="E18" s="65">
        <f>MAX('All Data'!C60)</f>
        <v>30</v>
      </c>
      <c r="F18" s="66">
        <f>'Data Summary'!J16</f>
        <v>0</v>
      </c>
      <c r="G18" s="66" t="str">
        <f>'Data Summary'!K16</f>
        <v>N/A (n=1)</v>
      </c>
      <c r="H18" s="66">
        <f>(SUM('All Data'!I60)-SUM('All Data'!C60))/SUM('All Data'!C60)</f>
        <v>0</v>
      </c>
      <c r="I18" s="66" t="str">
        <f>IF($B18&lt;2,"N/A",TINV(0.05,$B18-1)*SQRT($B18*SUMPRODUCT((('All Data'!I60-'All Data'!C60)-H18*'All Data'!C60)^2)/(($B18-1)*SUM('All Data'!C60)^2)))</f>
        <v>N/A</v>
      </c>
      <c r="J18" s="66">
        <f>'Data Summary'!M16</f>
        <v>8.0791578947368464E-2</v>
      </c>
      <c r="K18" s="66" t="str">
        <f>'Data Summary'!N16</f>
        <v>N/A (n=1)</v>
      </c>
      <c r="L18" s="66">
        <f>(SUM('All Data'!J60)-SUM('All Data'!E60))/SUM('All Data'!E60)</f>
        <v>-8.0791578947368464E-2</v>
      </c>
      <c r="M18" s="66" t="str">
        <f>IF($B18&lt;2,"N/A",TINV(0.05,$B18-1)*SQRT($B18*SUMPRODUCT((('All Data'!J60-'All Data'!E60)-L18*'All Data'!E60)^2)/(($B18-1)*SUM('All Data'!E60)^2)))</f>
        <v>N/A</v>
      </c>
      <c r="N18" s="95">
        <f>SUM('All Data'!M60:M60)/(SUM('All Data'!M60:M60)+SUM('All Data'!N60:N60))</f>
        <v>1</v>
      </c>
      <c r="O18" s="96" t="str" cm="1">
        <f t="array" ref="O18">IF($B18&lt;2,"N/A",TINV(0.05,$B18-1)*SQRT($B18*SUMPRODUCT(('All Data'!M60:M60-$N18*('All Data'!M60:M60+'All Data'!N60:N60))^2)/(($B18-1)*(SUM('All Data'!M60:M60)+SUM('All Data'!N60:N60))^2)))</f>
        <v>N/A</v>
      </c>
      <c r="P18" s="95">
        <f>SUM('All Data'!M60:M60)/(SUM('All Data'!M60:M60)+SUM('All Data'!O60:O60))</f>
        <v>1</v>
      </c>
      <c r="Q18" s="96" t="str" cm="1">
        <f t="array" ref="Q18">IF($B18&lt;2,"N/A",TINV(0.05,$B18-1)*SQRT($B18*SUMPRODUCT(('All Data'!M60:M60-$P18*('All Data'!M60:M60+'All Data'!O60:O60))^2)/(($B18-1)*(SUM('All Data'!M60:M60)+SUM('All Data'!O60:O60))^2)))</f>
        <v>N/A</v>
      </c>
      <c r="R18" s="95">
        <f>2*SUM('All Data'!M60:M60)/(2*SUM('All Data'!M60:M60)+SUM('All Data'!N60:N60)+SUM('All Data'!O60:O60))</f>
        <v>1</v>
      </c>
      <c r="S18" s="96" t="str">
        <f t="array" ref="S18">IF($B18&lt;2,"N/A",TINV(0.05,$B18-1)*SQRT($B18*SUMPRODUCT((2*'All Data'!M60:M60-$R18*(2*'All Data'!M60:M60+'All Data'!N60:N60+'All Data'!O60:O60))^2)/(($B18-1)*(2*SUM('All Data'!M60:M60)+SUM('All Data'!N60:N60)+SUM('All Data'!O60:O60))^2)))</f>
        <v>N/A</v>
      </c>
    </row>
    <row r="19" spans="1:19" ht="15" customHeight="1" x14ac:dyDescent="0.4">
      <c r="A19" s="24" t="str">
        <f>'Data Summary'!B17</f>
        <v>Lost Angel Sphere 35K</v>
      </c>
      <c r="B19" s="65">
        <f>'Data Summary'!U17</f>
        <v>6</v>
      </c>
      <c r="C19" s="65">
        <f>'Data Summary'!V17</f>
        <v>480</v>
      </c>
      <c r="D19" s="65">
        <f>MIN('All Data'!C47:C52)</f>
        <v>80</v>
      </c>
      <c r="E19" s="65">
        <f>MAX('All Data'!C47:C52)</f>
        <v>80</v>
      </c>
      <c r="F19" s="66">
        <f>'Data Summary'!J17</f>
        <v>0</v>
      </c>
      <c r="G19" s="66">
        <f>'Data Summary'!K17</f>
        <v>0</v>
      </c>
      <c r="H19" s="66">
        <f>(SUM('All Data'!I47:I52)-SUM('All Data'!C47:C52))/SUM('All Data'!C47:C52)</f>
        <v>0</v>
      </c>
      <c r="I19" s="66">
        <f>IF($B19&lt;2,"N/A",TINV(0.05,$B19-1)*SQRT($B19*SUMPRODUCT((('All Data'!I47:I52-'All Data'!C47:C52)-H19*'All Data'!C47:C52)^2)/(($B19-1)*SUM('All Data'!C47:C52)^2)))</f>
        <v>0</v>
      </c>
      <c r="J19" s="66">
        <f>'Data Summary'!M17</f>
        <v>2.8632152777777777E-2</v>
      </c>
      <c r="K19" s="66">
        <f>'Data Summary'!N17</f>
        <v>1.4821302571350638E-3</v>
      </c>
      <c r="L19" s="66">
        <f>(SUM('All Data'!J47:J52)-SUM('All Data'!E47:E52))/SUM('All Data'!E47:E52)</f>
        <v>2.8632152777777895E-2</v>
      </c>
      <c r="M19" s="66">
        <f>IF($B19&lt;2,"N/A",TINV(0.05,$B19-1)*SQRT($B19*SUMPRODUCT((('All Data'!J47:J52-'All Data'!E47:E52)-L19*'All Data'!E47:E52)^2)/(($B19-1)*SUM('All Data'!E47:E52)^2)))</f>
        <v>1.4821302571350638E-3</v>
      </c>
      <c r="N19" s="95">
        <f>SUM('All Data'!M47:M52)/(SUM('All Data'!M47:M52)+SUM('All Data'!N47:N52))</f>
        <v>1</v>
      </c>
      <c r="O19" s="96" cm="1">
        <f t="array" ref="O19">IF($B19&lt;2,"N/A",TINV(0.05,$B19-1)*SQRT($B19*SUMPRODUCT(('All Data'!M47:M52-$N19*('All Data'!M47:M52+'All Data'!N47:N52))^2)/(($B19-1)*(SUM('All Data'!M47:M52)+SUM('All Data'!N47:N52))^2)))</f>
        <v>0</v>
      </c>
      <c r="P19" s="95">
        <f>SUM('All Data'!M47:M52)/(SUM('All Data'!M47:M52)+SUM('All Data'!O47:O52))</f>
        <v>1</v>
      </c>
      <c r="Q19" s="96" cm="1">
        <f t="array" ref="Q19">IF($B19&lt;2,"N/A",TINV(0.05,$B19-1)*SQRT($B19*SUMPRODUCT(('All Data'!M47:M52-$P19*('All Data'!M47:M52+'All Data'!O47:O52))^2)/(($B19-1)*(SUM('All Data'!M47:M52)+SUM('All Data'!O47:O52))^2)))</f>
        <v>0</v>
      </c>
      <c r="R19" s="95">
        <f>2*SUM('All Data'!M47:M52)/(2*SUM('All Data'!M47:M52)+SUM('All Data'!N47:N52)+SUM('All Data'!O47:O52))</f>
        <v>1</v>
      </c>
      <c r="S19" s="96">
        <f t="array" ref="S19">IF($B19&lt;2,"N/A",TINV(0.05,$B19-1)*SQRT($B19*SUMPRODUCT((2*'All Data'!M47:M52-$R19*(2*'All Data'!M47:M52+'All Data'!N47:N52+'All Data'!O47:O52))^2)/(($B19-1)*(2*SUM('All Data'!M47:M52)+SUM('All Data'!N47:N52)+SUM('All Data'!O47:O52))^2)))</f>
        <v>0</v>
      </c>
    </row>
    <row r="20" spans="1:19" ht="15" customHeight="1" x14ac:dyDescent="0.4">
      <c r="A20" s="24" t="str">
        <f>'Data Summary'!B18</f>
        <v>Lost Mary MT15000</v>
      </c>
      <c r="B20" s="65">
        <f>'Data Summary'!U18</f>
        <v>6</v>
      </c>
      <c r="C20" s="65">
        <f>'Data Summary'!V18</f>
        <v>455</v>
      </c>
      <c r="D20" s="65">
        <f>MIN('All Data'!C24:C29)</f>
        <v>55</v>
      </c>
      <c r="E20" s="65">
        <f>MAX('All Data'!C24:C29)</f>
        <v>80</v>
      </c>
      <c r="F20" s="66">
        <f>'Data Summary'!J18</f>
        <v>2.6373626373626374E-2</v>
      </c>
      <c r="G20" s="66">
        <f>'Data Summary'!K18</f>
        <v>1.5610502465121141E-2</v>
      </c>
      <c r="H20" s="66">
        <f>(SUM('All Data'!I24:I29)-SUM('All Data'!C24:C29))/SUM('All Data'!C24:C29)</f>
        <v>-1.3186813186813187E-2</v>
      </c>
      <c r="I20" s="66">
        <f>IF($B20&lt;2,"N/A",TINV(0.05,$B20-1)*SQRT($B20*SUMPRODUCT((('All Data'!I24:I29-'All Data'!C24:C29)-H20*'All Data'!C24:C29)^2)/(($B20-1)*SUM('All Data'!C24:C29)^2)))</f>
        <v>2.9102482933974331E-2</v>
      </c>
      <c r="J20" s="66">
        <f>'Data Summary'!M18</f>
        <v>2.5857582417582403E-2</v>
      </c>
      <c r="K20" s="66">
        <f>'Data Summary'!N18</f>
        <v>2.1006455007359915E-2</v>
      </c>
      <c r="L20" s="66">
        <f>(SUM('All Data'!J24:J29)-SUM('All Data'!E24:E29))/SUM('All Data'!E24:E29)</f>
        <v>2.257978021978025E-2</v>
      </c>
      <c r="M20" s="66">
        <f>IF($B20&lt;2,"N/A",TINV(0.05,$B20-1)*SQRT($B20*SUMPRODUCT((('All Data'!J24:J29-'All Data'!E24:E29)-L20*'All Data'!E24:E29)^2)/(($B20-1)*SUM('All Data'!E24:E29)^2)))</f>
        <v>2.5457071136508285E-2</v>
      </c>
      <c r="N20" s="95">
        <f>SUM('All Data'!M24:M29)/(SUM('All Data'!M24:M29)+SUM('All Data'!N24:N29))</f>
        <v>0.99331848552338531</v>
      </c>
      <c r="O20" s="96" cm="1">
        <f t="array" ref="O20">IF($B20&lt;2,"N/A",TINV(0.05,$B20-1)*SQRT($B20*SUMPRODUCT(('All Data'!M24:M29-$N20*('All Data'!M24:M29+'All Data'!N24:N29))^2)/(($B20-1)*(SUM('All Data'!M24:M29)+SUM('All Data'!N24:N29))^2)))</f>
        <v>1.2404121808253163E-2</v>
      </c>
      <c r="P20" s="95">
        <f>SUM('All Data'!M24:M29)/(SUM('All Data'!M24:M29)+SUM('All Data'!O24:O29))</f>
        <v>0.98021978021978018</v>
      </c>
      <c r="Q20" s="96" cm="1">
        <f t="array" ref="Q20">IF($B20&lt;2,"N/A",TINV(0.05,$B20-1)*SQRT($B20*SUMPRODUCT(('All Data'!M24:M29-$P20*('All Data'!M24:M29+'All Data'!O24:O29))^2)/(($B20-1)*(SUM('All Data'!M24:M29)+SUM('All Data'!O24:O29))^2)))</f>
        <v>1.9785257277939589E-2</v>
      </c>
      <c r="R20" s="95">
        <f>2*SUM('All Data'!M24:M29)/(2*SUM('All Data'!M24:M29)+SUM('All Data'!N24:N29)+SUM('All Data'!O24:O29))</f>
        <v>0.98672566371681414</v>
      </c>
      <c r="S20" s="96">
        <f t="array" ref="S20">IF($B20&lt;2,"N/A",TINV(0.05,$B20-1)*SQRT($B20*SUMPRODUCT((2*'All Data'!M24:M29-$R20*(2*'All Data'!M24:M29+'All Data'!N24:N29+'All Data'!O24:O29))^2)/(($B20-1)*(2*SUM('All Data'!M24:M29)+SUM('All Data'!N24:N29)+SUM('All Data'!O24:O29))^2)))</f>
        <v>7.9604694549534876E-3</v>
      </c>
    </row>
    <row r="21" spans="1:19" ht="15" customHeight="1" x14ac:dyDescent="0.4">
      <c r="A21" s="24" t="str">
        <f>'Data Summary'!B19</f>
        <v>Mr Fog Aura</v>
      </c>
      <c r="B21" s="65">
        <f>'Data Summary'!U19</f>
        <v>11</v>
      </c>
      <c r="C21" s="65">
        <f>'Data Summary'!V19</f>
        <v>1049</v>
      </c>
      <c r="D21" s="65">
        <f>MIN('All Data'!C125:C135)</f>
        <v>39</v>
      </c>
      <c r="E21" s="65">
        <f>MAX('All Data'!C125:C135)</f>
        <v>200</v>
      </c>
      <c r="F21" s="66">
        <f>'Data Summary'!J19</f>
        <v>5.3384175405147762E-2</v>
      </c>
      <c r="G21" s="66">
        <f>'Data Summary'!K19</f>
        <v>6.7445933402897257E-2</v>
      </c>
      <c r="H21" s="66">
        <f>(SUM('All Data'!I125:I135)-SUM('All Data'!C125:C135))/SUM('All Data'!C125:C135)</f>
        <v>-3.4318398474737846E-2</v>
      </c>
      <c r="I21" s="66">
        <f>IF($B21&lt;2,"N/A",TINV(0.05,$B21-1)*SQRT($B21*SUMPRODUCT((('All Data'!I125:I135-'All Data'!C125:C135)-H21*'All Data'!C125:C135)^2)/(($B21-1)*SUM('All Data'!C125:C135)^2)))</f>
        <v>7.1324124908281758E-2</v>
      </c>
      <c r="J21" s="66">
        <f>'Data Summary'!M19</f>
        <v>0.10805681601525266</v>
      </c>
      <c r="K21" s="66">
        <f>'Data Summary'!N19</f>
        <v>6.5920390651407604E-2</v>
      </c>
      <c r="L21" s="66">
        <f>(SUM('All Data'!J125:J135)-SUM('All Data'!E125:E135))/SUM('All Data'!E125:E135)</f>
        <v>2.0287321258341276E-2</v>
      </c>
      <c r="M21" s="66">
        <f>IF($B21&lt;2,"N/A",TINV(0.05,$B21-1)*SQRT($B21*SUMPRODUCT((('All Data'!J125:J135-'All Data'!E125:E135)-L21*'All Data'!E125:E135)^2)/(($B21-1)*SUM('All Data'!E125:E135)^2)))</f>
        <v>8.7635799345387275E-2</v>
      </c>
      <c r="N21" s="95">
        <f>SUM('All Data'!M125:M135)/(SUM('All Data'!M125:M135)+SUM('All Data'!N125:N135))</f>
        <v>0.99012833168805525</v>
      </c>
      <c r="O21" s="96" cm="1">
        <f t="array" ref="O21">IF($B21&lt;2,"N/A",TINV(0.05,$B21-1)*SQRT($B21*SUMPRODUCT(('All Data'!M125:M135-$N21*('All Data'!M125:M135+'All Data'!N125:N135))^2)/(($B21-1)*(SUM('All Data'!M125:M135)+SUM('All Data'!N125:N135))^2)))</f>
        <v>1.3275913494724109E-2</v>
      </c>
      <c r="P21" s="95">
        <f>SUM('All Data'!M125:M135)/(SUM('All Data'!M125:M135)+SUM('All Data'!O125:O135))</f>
        <v>0.95614871306005722</v>
      </c>
      <c r="Q21" s="96" cm="1">
        <f t="array" ref="Q21">IF($B21&lt;2,"N/A",TINV(0.05,$B21-1)*SQRT($B21*SUMPRODUCT(('All Data'!M125:M135-$P21*('All Data'!M125:M135+'All Data'!O125:O135))^2)/(($B21-1)*(SUM('All Data'!M125:M135)+SUM('All Data'!O125:O135))^2)))</f>
        <v>6.8177471548838797E-2</v>
      </c>
      <c r="R21" s="95">
        <f>2*SUM('All Data'!M125:M135)/(2*SUM('All Data'!M125:M135)+SUM('All Data'!N125:N135)+SUM('All Data'!O125:O135))</f>
        <v>0.97284190106692536</v>
      </c>
      <c r="S21" s="96">
        <f t="array" ref="S21">IF($B21&lt;2,"N/A",TINV(0.05,$B21-1)*SQRT($B21*SUMPRODUCT((2*'All Data'!M125:M135-$R21*(2*'All Data'!M125:M135+'All Data'!N125:N135+'All Data'!O125:O135))^2)/(($B21-1)*(2*SUM('All Data'!M125:M135)+SUM('All Data'!N125:N135)+SUM('All Data'!O125:O135))^2)))</f>
        <v>3.5230932950084407E-2</v>
      </c>
    </row>
    <row r="22" spans="1:19" ht="15" customHeight="1" x14ac:dyDescent="0.4">
      <c r="A22" s="24" t="str">
        <f>'Data Summary'!B20</f>
        <v>MR Fog Nova</v>
      </c>
      <c r="B22" s="65">
        <f>'Data Summary'!U20</f>
        <v>25</v>
      </c>
      <c r="C22" s="65">
        <f>'Data Summary'!V20</f>
        <v>1000</v>
      </c>
      <c r="D22" s="65">
        <f>MIN('All Data'!C137:C161)</f>
        <v>40</v>
      </c>
      <c r="E22" s="65">
        <f>MAX('All Data'!C137:C161)</f>
        <v>40</v>
      </c>
      <c r="F22" s="66">
        <f>'Data Summary'!J20</f>
        <v>6.0000000000000001E-3</v>
      </c>
      <c r="G22" s="66">
        <f>'Data Summary'!K20</f>
        <v>5.3951640101776877E-3</v>
      </c>
      <c r="H22" s="66">
        <f>(SUM('All Data'!I137:I161)-SUM('All Data'!C137:C161))/SUM('All Data'!C137:C161)</f>
        <v>4.0000000000000001E-3</v>
      </c>
      <c r="I22" s="66">
        <f>IF($B22&lt;2,"N/A",TINV(0.05,$B22-1)*SQRT($B22*SUMPRODUCT((('All Data'!I137:I161-'All Data'!C137:C161)-H22*'All Data'!C137:C161)^2)/(($B22-1)*SUM('All Data'!C137:C161)^2)))</f>
        <v>5.7146763475538816E-3</v>
      </c>
      <c r="J22" s="66">
        <f>'Data Summary'!M20</f>
        <v>8.3078433333333326E-2</v>
      </c>
      <c r="K22" s="66">
        <f>'Data Summary'!N20</f>
        <v>8.1238308972333955E-3</v>
      </c>
      <c r="L22" s="66">
        <f>(SUM('All Data'!J137:J161)-SUM('All Data'!E137:E161))/SUM('All Data'!E137:E161)</f>
        <v>8.3078433333333424E-2</v>
      </c>
      <c r="M22" s="66">
        <f>IF($B22&lt;2,"N/A",TINV(0.05,$B22-1)*SQRT($B22*SUMPRODUCT((('All Data'!J137:J161-'All Data'!E137:E161)-L22*'All Data'!E137:E161)^2)/(($B22-1)*SUM('All Data'!E137:E161)^2)))</f>
        <v>8.1238308972333955E-3</v>
      </c>
      <c r="N22" s="95">
        <f>SUM('All Data'!M137:M161)/(SUM('All Data'!M137:M161)+SUM('All Data'!N137:N161))</f>
        <v>0.9950199203187251</v>
      </c>
      <c r="O22" s="96" cm="1">
        <f t="array" ref="O22">IF($B22&lt;2,"N/A",TINV(0.05,$B22-1)*SQRT($B22*SUMPRODUCT(('All Data'!M137:M161-$N22*('All Data'!M137:M161+'All Data'!N137:N161))^2)/(($B22-1)*(SUM('All Data'!M137:M161)+SUM('All Data'!N137:N161))^2)))</f>
        <v>5.1127531306261013E-3</v>
      </c>
      <c r="P22" s="95">
        <f>SUM('All Data'!M137:M161)/(SUM('All Data'!M137:M161)+SUM('All Data'!O137:O161))</f>
        <v>0.999</v>
      </c>
      <c r="Q22" s="96" cm="1">
        <f t="array" ref="Q22">IF($B22&lt;2,"N/A",TINV(0.05,$B22-1)*SQRT($B22*SUMPRODUCT(('All Data'!M137:M161-$P22*('All Data'!M137:M161+'All Data'!O137:O161))^2)/(($B22-1)*(SUM('All Data'!M137:M161)+SUM('All Data'!O137:O161))^2)))</f>
        <v>2.0638985616280255E-3</v>
      </c>
      <c r="R22" s="95">
        <f>2*SUM('All Data'!M137:M161)/(2*SUM('All Data'!M137:M161)+SUM('All Data'!N137:N161)+SUM('All Data'!O137:O161))</f>
        <v>0.99700598802395213</v>
      </c>
      <c r="S22" s="96">
        <f t="array" ref="S22">IF($B22&lt;2,"N/A",TINV(0.05,$B22-1)*SQRT($B22*SUMPRODUCT((2*'All Data'!M137:M161-$R22*(2*'All Data'!M137:M161+'All Data'!N137:N161+'All Data'!O137:O161))^2)/(($B22-1)*(2*SUM('All Data'!M137:M161)+SUM('All Data'!N137:N161)+SUM('All Data'!O137:O161))^2)))</f>
        <v>2.6860112386092403E-3</v>
      </c>
    </row>
    <row r="23" spans="1:19" ht="15" customHeight="1" x14ac:dyDescent="0.4">
      <c r="A23" s="24" t="str">
        <f>'Data Summary'!B21</f>
        <v>Njoy Ace</v>
      </c>
      <c r="B23" s="65">
        <f>'Data Summary'!U21</f>
        <v>1</v>
      </c>
      <c r="C23" s="65">
        <f>'Data Summary'!V21</f>
        <v>80</v>
      </c>
      <c r="D23" s="65">
        <f>MIN('All Data'!C58:C58)</f>
        <v>80</v>
      </c>
      <c r="E23" s="65">
        <f>MAX('All Data'!C58:C58)</f>
        <v>80</v>
      </c>
      <c r="F23" s="66">
        <f>'Data Summary'!J21</f>
        <v>0</v>
      </c>
      <c r="G23" s="66" t="str">
        <f>'Data Summary'!K21</f>
        <v>N/A (n=1)</v>
      </c>
      <c r="H23" s="66">
        <f>(SUM('All Data'!I58:I58)-SUM('All Data'!C58:C58))/SUM('All Data'!C58:C58)</f>
        <v>0</v>
      </c>
      <c r="I23" s="66" t="str">
        <f>IF($B23&lt;2,"N/A",TINV(0.05,$B23-1)*SQRT($B23*SUMPRODUCT((('All Data'!I58:I58-'All Data'!C58:C58)-H23*'All Data'!C58:C58)^2)/(($B23-1)*SUM('All Data'!C58:C58)^2)))</f>
        <v>N/A</v>
      </c>
      <c r="J23" s="66">
        <f>'Data Summary'!M21</f>
        <v>0.18899291666666659</v>
      </c>
      <c r="K23" s="66" t="str">
        <f>'Data Summary'!N21</f>
        <v>N/A (n=1)</v>
      </c>
      <c r="L23" s="66">
        <f>(SUM('All Data'!J58:J58)-SUM('All Data'!E58:E58))/SUM('All Data'!E58:E58)</f>
        <v>0.18899291666666659</v>
      </c>
      <c r="M23" s="66" t="str">
        <f>IF($B23&lt;2,"N/A",TINV(0.05,$B23-1)*SQRT($B23*SUMPRODUCT((('All Data'!J58:J58-'All Data'!E58:E58)-L23*'All Data'!E58:E58)^2)/(($B23-1)*SUM('All Data'!E58:E58)^2)))</f>
        <v>N/A</v>
      </c>
      <c r="N23" s="95">
        <f>SUM('All Data'!M58:M58)/(SUM('All Data'!M58:M58)+SUM('All Data'!N58:N58))</f>
        <v>1</v>
      </c>
      <c r="O23" s="96" t="str" cm="1">
        <f t="array" ref="O23">IF($B23&lt;2,"N/A",TINV(0.05,$B23-1)*SQRT($B23*SUMPRODUCT(('All Data'!M58:M58-$N23*('All Data'!M58:M58+'All Data'!N58:N58))^2)/(($B23-1)*(SUM('All Data'!M58:M58)+SUM('All Data'!N58:N58))^2)))</f>
        <v>N/A</v>
      </c>
      <c r="P23" s="95">
        <f>SUM('All Data'!M58:M58)/(SUM('All Data'!M58:M58)+SUM('All Data'!O58:O58))</f>
        <v>1</v>
      </c>
      <c r="Q23" s="96" t="str" cm="1">
        <f t="array" ref="Q23">IF($B23&lt;2,"N/A",TINV(0.05,$B23-1)*SQRT($B23*SUMPRODUCT(('All Data'!M58:M58-$P23*('All Data'!M58:M58+'All Data'!O58:O58))^2)/(($B23-1)*(SUM('All Data'!M58:M58)+SUM('All Data'!O58:O58))^2)))</f>
        <v>N/A</v>
      </c>
      <c r="R23" s="95">
        <f>2*SUM('All Data'!M58:M58)/(2*SUM('All Data'!M58:M58)+SUM('All Data'!N58:N58)+SUM('All Data'!O58:O58))</f>
        <v>1</v>
      </c>
      <c r="S23" s="96" t="str">
        <f t="array" ref="S23">IF($B23&lt;2,"N/A",TINV(0.05,$B23-1)*SQRT($B23*SUMPRODUCT((2*'All Data'!M58:M58-$R23*(2*'All Data'!M58:M58+'All Data'!N58:N58+'All Data'!O58:O58))^2)/(($B23-1)*(2*SUM('All Data'!M58:M58)+SUM('All Data'!N58:N58)+SUM('All Data'!O58:O58))^2)))</f>
        <v>N/A</v>
      </c>
    </row>
    <row r="24" spans="1:19" ht="15" customHeight="1" x14ac:dyDescent="0.4">
      <c r="A24" s="87" t="s">
        <v>74</v>
      </c>
      <c r="B24" s="65">
        <f>'Data Summary'!U22</f>
        <v>1</v>
      </c>
      <c r="C24" s="65">
        <f>'Data Summary'!V22</f>
        <v>30</v>
      </c>
      <c r="D24" s="65">
        <f>MIN('All Data'!C45)</f>
        <v>30</v>
      </c>
      <c r="E24" s="65">
        <f>MAX('All Data'!C45)</f>
        <v>30</v>
      </c>
      <c r="F24" s="66">
        <f>'Data Summary'!J22</f>
        <v>0</v>
      </c>
      <c r="G24" s="66" t="str">
        <f>'Data Summary'!K22</f>
        <v>N/A (n=1)</v>
      </c>
      <c r="H24" s="66">
        <f>(SUM('All Data'!I45)-SUM('All Data'!C45))/SUM('All Data'!C45)</f>
        <v>0</v>
      </c>
      <c r="I24" s="66" t="str">
        <f>IF($B24&lt;2,"N/A",TINV(0.05,$B24-1)*SQRT($B24*SUMPRODUCT((('All Data'!I45-'All Data'!C45)-H24*'All Data'!C45)^2)/(($B24-1)*SUM('All Data'!C45)^2)))</f>
        <v>N/A</v>
      </c>
      <c r="J24" s="66">
        <f>'Data Summary'!M22</f>
        <v>2.3367792327130772E-2</v>
      </c>
      <c r="K24" s="66" t="str">
        <f>'Data Summary'!N22</f>
        <v>N/A (n=1)</v>
      </c>
      <c r="L24" s="66">
        <f>(SUM('All Data'!J45)-SUM('All Data'!E45))/SUM('All Data'!E45)</f>
        <v>-2.3367792327130772E-2</v>
      </c>
      <c r="M24" s="66" t="str">
        <f>IF($B24&lt;2,"N/A",TINV(0.05,$B24-1)*SQRT($B24*SUMPRODUCT((('All Data'!J45-'All Data'!E45)-L24*'All Data'!E45)^2)/(($B24-1)*SUM('All Data'!E45)^2)))</f>
        <v>N/A</v>
      </c>
      <c r="N24" s="95">
        <f>SUM('All Data'!M45:M45)/(SUM('All Data'!M45:M45)+SUM('All Data'!N45:N45))</f>
        <v>1</v>
      </c>
      <c r="O24" s="96" t="str" cm="1">
        <f t="array" ref="O24">IF($B24&lt;2,"N/A",TINV(0.05,$B24-1)*SQRT($B24*SUMPRODUCT(('All Data'!M45:M45-$N24*('All Data'!M45:M45+'All Data'!N45:N45))^2)/(($B24-1)*(SUM('All Data'!M45:M45)+SUM('All Data'!N45:N45))^2)))</f>
        <v>N/A</v>
      </c>
      <c r="P24" s="95">
        <f>SUM('All Data'!M45:M45)/(SUM('All Data'!M45:M45)+SUM('All Data'!O45:O45))</f>
        <v>1</v>
      </c>
      <c r="Q24" s="96" t="str" cm="1">
        <f t="array" ref="Q24">IF($B24&lt;2,"N/A",TINV(0.05,$B24-1)*SQRT($B24*SUMPRODUCT(('All Data'!M45:M45-$P24*('All Data'!M45:M45+'All Data'!O45:O45))^2)/(($B24-1)*(SUM('All Data'!M45:M45)+SUM('All Data'!O45:O45))^2)))</f>
        <v>N/A</v>
      </c>
      <c r="R24" s="95">
        <f>2*SUM('All Data'!M45:M45)/(2*SUM('All Data'!M45:M45)+SUM('All Data'!N45:N45)+SUM('All Data'!O45:O45))</f>
        <v>1</v>
      </c>
      <c r="S24" s="96" t="str">
        <f t="array" ref="S24">IF($B24&lt;2,"N/A",TINV(0.05,$B24-1)*SQRT($B24*SUMPRODUCT((2*'All Data'!M45:M45-$R24*(2*'All Data'!M45:M45+'All Data'!N45:N45+'All Data'!O45:O45))^2)/(($B24-1)*(2*SUM('All Data'!M45:M45)+SUM('All Data'!N45:N45)+SUM('All Data'!O45:O45))^2)))</f>
        <v>N/A</v>
      </c>
    </row>
    <row r="25" spans="1:19" ht="15" customHeight="1" x14ac:dyDescent="0.4">
      <c r="A25" s="24" t="str">
        <f>'Data Summary'!B23</f>
        <v>North 5000 Disposable</v>
      </c>
      <c r="B25" s="65">
        <f>'Data Summary'!U23</f>
        <v>6</v>
      </c>
      <c r="C25" s="65">
        <f>'Data Summary'!V23</f>
        <v>240</v>
      </c>
      <c r="D25" s="65">
        <f>MIN('All Data'!C163:C168)</f>
        <v>40</v>
      </c>
      <c r="E25" s="65">
        <f>MAX('All Data'!C163:C168)</f>
        <v>40</v>
      </c>
      <c r="F25" s="66">
        <f>'Data Summary'!J23</f>
        <v>0</v>
      </c>
      <c r="G25" s="66">
        <f>'Data Summary'!K23</f>
        <v>0</v>
      </c>
      <c r="H25" s="66">
        <f>(SUM('All Data'!I163:I168)-SUM('All Data'!C163:C168))/SUM('All Data'!C163:C168)</f>
        <v>0</v>
      </c>
      <c r="I25" s="66">
        <f>IF($B25&lt;2,"N/A",TINV(0.05,$B25-1)*SQRT($B25*SUMPRODUCT((('All Data'!I163:I168-'All Data'!C163:C168)-H25*'All Data'!C163:C168)^2)/(($B25-1)*SUM('All Data'!C163:C168)^2)))</f>
        <v>0</v>
      </c>
      <c r="J25" s="66">
        <f>'Data Summary'!M23</f>
        <v>7.2804861111111105E-2</v>
      </c>
      <c r="K25" s="66">
        <f>'Data Summary'!N23</f>
        <v>6.8526075751662073E-3</v>
      </c>
      <c r="L25" s="66">
        <f>(SUM('All Data'!J163:J168)-SUM('All Data'!E163:E168))/SUM('All Data'!E163:E168)</f>
        <v>7.2804861111111382E-2</v>
      </c>
      <c r="M25" s="66">
        <f>IF($B25&lt;2,"N/A",TINV(0.05,$B25-1)*SQRT($B25*SUMPRODUCT((('All Data'!J163:J168-'All Data'!E163:E168)-L25*'All Data'!E163:E168)^2)/(($B25-1)*SUM('All Data'!E163:E168)^2)))</f>
        <v>6.8526075751662065E-3</v>
      </c>
      <c r="N25" s="95">
        <f>SUM('All Data'!M163:M168)/(SUM('All Data'!M163:M168)+SUM('All Data'!N163:N168))</f>
        <v>1</v>
      </c>
      <c r="O25" s="96" cm="1">
        <f t="array" ref="O25">IF($B25&lt;2,"N/A",TINV(0.05,$B25-1)*SQRT($B25*SUMPRODUCT(('All Data'!M163:M168-$N25*('All Data'!M163:M168+'All Data'!N163:N168))^2)/(($B25-1)*(SUM('All Data'!M163:M168)+SUM('All Data'!N163:N168))^2)))</f>
        <v>0</v>
      </c>
      <c r="P25" s="95">
        <f>SUM('All Data'!M163:M168)/(SUM('All Data'!M163:M168)+SUM('All Data'!O163:O168))</f>
        <v>1</v>
      </c>
      <c r="Q25" s="96" cm="1">
        <f t="array" ref="Q25">IF($B25&lt;2,"N/A",TINV(0.05,$B25-1)*SQRT($B25*SUMPRODUCT(('All Data'!M163:M168-$P25*('All Data'!M163:M168+'All Data'!O163:O168))^2)/(($B25-1)*(SUM('All Data'!M163:M168)+SUM('All Data'!O163:O168))^2)))</f>
        <v>0</v>
      </c>
      <c r="R25" s="95">
        <f>2*SUM('All Data'!M163:M168)/(2*SUM('All Data'!M163:M168)+SUM('All Data'!N163:N168)+SUM('All Data'!O163:O168))</f>
        <v>1</v>
      </c>
      <c r="S25" s="96">
        <f t="array" ref="S25">IF($B25&lt;2,"N/A",TINV(0.05,$B25-1)*SQRT($B25*SUMPRODUCT((2*'All Data'!M163:M168-$R25*(2*'All Data'!M163:M168+'All Data'!N163:N168+'All Data'!O163:O168))^2)/(($B25-1)*(2*SUM('All Data'!M163:M168)+SUM('All Data'!N163:N168)+SUM('All Data'!O163:O168))^2)))</f>
        <v>0</v>
      </c>
    </row>
    <row r="26" spans="1:19" ht="15" customHeight="1" x14ac:dyDescent="0.4">
      <c r="A26" s="24" t="str">
        <f>'Data Summary'!B24</f>
        <v>Offstamp SW 9000</v>
      </c>
      <c r="B26" s="65">
        <f>'Data Summary'!U24</f>
        <v>15</v>
      </c>
      <c r="C26" s="65">
        <f>'Data Summary'!V24</f>
        <v>600</v>
      </c>
      <c r="D26" s="65">
        <f>MIN('All Data'!C170:C184)</f>
        <v>40</v>
      </c>
      <c r="E26" s="65">
        <f>MAX('All Data'!C170:C184)</f>
        <v>40</v>
      </c>
      <c r="F26" s="66">
        <f>'Data Summary'!J24</f>
        <v>6.6666666666666671E-3</v>
      </c>
      <c r="G26" s="66">
        <f>'Data Summary'!K24</f>
        <v>8.2183512147628434E-3</v>
      </c>
      <c r="H26" s="66">
        <f>(SUM('All Data'!I170:I184)-SUM('All Data'!C170:C184))/SUM('All Data'!C170:C184)</f>
        <v>6.6666666666666671E-3</v>
      </c>
      <c r="I26" s="66">
        <f>IF($B26&lt;2,"N/A",TINV(0.05,$B26-1)*SQRT($B26*SUMPRODUCT((('All Data'!I170:I184-'All Data'!C170:C184)-H26*'All Data'!C170:C184)^2)/(($B26-1)*SUM('All Data'!C170:C184)^2)))</f>
        <v>8.2183512147628434E-3</v>
      </c>
      <c r="J26" s="66">
        <f>'Data Summary'!M24</f>
        <v>8.4740277777777762E-2</v>
      </c>
      <c r="K26" s="66">
        <f>'Data Summary'!N24</f>
        <v>9.0885021495733468E-3</v>
      </c>
      <c r="L26" s="66">
        <f>(SUM('All Data'!J170:J184)-SUM('All Data'!E170:E184))/SUM('All Data'!E170:E184)</f>
        <v>8.4740277777777914E-2</v>
      </c>
      <c r="M26" s="66">
        <f>IF($B26&lt;2,"N/A",TINV(0.05,$B26-1)*SQRT($B26*SUMPRODUCT((('All Data'!J170:J184-'All Data'!E170:E184)-L26*'All Data'!E170:E184)^2)/(($B26-1)*SUM('All Data'!E170:E184)^2)))</f>
        <v>9.0885021495733468E-3</v>
      </c>
      <c r="N26" s="95">
        <f>SUM('All Data'!M170:M184)/(SUM('All Data'!M170:M184)+SUM('All Data'!N170:N184))</f>
        <v>0.99337748344370858</v>
      </c>
      <c r="O26" s="96" cm="1">
        <f t="array" ref="O26">IF($B26&lt;2,"N/A",TINV(0.05,$B26-1)*SQRT($B26*SUMPRODUCT(('All Data'!M170:M184-$N26*('All Data'!M170:M184+'All Data'!N170:N184))^2)/(($B26-1)*(SUM('All Data'!M170:M184)+SUM('All Data'!N170:N184))^2)))</f>
        <v>8.1098593189844331E-3</v>
      </c>
      <c r="P26" s="95">
        <f>SUM('All Data'!M170:M184)/(SUM('All Data'!M170:M184)+SUM('All Data'!O170:O184))</f>
        <v>1</v>
      </c>
      <c r="Q26" s="96" cm="1">
        <f t="array" ref="Q26">IF($B26&lt;2,"N/A",TINV(0.05,$B26-1)*SQRT($B26*SUMPRODUCT(('All Data'!M170:M184-$P26*('All Data'!M170:M184+'All Data'!O170:O184))^2)/(($B26-1)*(SUM('All Data'!M170:M184)+SUM('All Data'!O170:O184))^2)))</f>
        <v>0</v>
      </c>
      <c r="R26" s="95">
        <f>2*SUM('All Data'!M170:M184)/(2*SUM('All Data'!M170:M184)+SUM('All Data'!N170:N184)+SUM('All Data'!O170:O184))</f>
        <v>0.99667774086378735</v>
      </c>
      <c r="S26" s="96">
        <f t="array" ref="S26">IF($B26&lt;2,"N/A",TINV(0.05,$B26-1)*SQRT($B26*SUMPRODUCT((2*'All Data'!M170:M184-$R26*(2*'All Data'!M170:M184+'All Data'!N170:N184+'All Data'!O170:O184))^2)/(($B26-1)*(2*SUM('All Data'!M170:M184)+SUM('All Data'!N170:N184)+SUM('All Data'!O170:O184))^2)))</f>
        <v>4.081917469612127E-3</v>
      </c>
    </row>
    <row r="27" spans="1:19" ht="15" customHeight="1" x14ac:dyDescent="0.4">
      <c r="A27" s="24" t="str">
        <f>'Data Summary'!B25</f>
        <v>Offstamp X cube</v>
      </c>
      <c r="B27" s="65">
        <f>'Data Summary'!U25</f>
        <v>6</v>
      </c>
      <c r="C27" s="65">
        <f>'Data Summary'!V25</f>
        <v>330</v>
      </c>
      <c r="D27" s="65">
        <f>MIN('All Data'!C211:C216)</f>
        <v>40</v>
      </c>
      <c r="E27" s="65">
        <f>MAX('All Data'!C211:C216)</f>
        <v>70</v>
      </c>
      <c r="F27" s="66">
        <f>'Data Summary'!J25</f>
        <v>0.11212121212121212</v>
      </c>
      <c r="G27" s="66">
        <f>'Data Summary'!K25</f>
        <v>8.9934399184394428E-2</v>
      </c>
      <c r="H27" s="66">
        <f>(SUM('All Data'!I211:I216)-SUM('All Data'!C211:C216))/SUM('All Data'!C211:C216)</f>
        <v>-0.11212121212121212</v>
      </c>
      <c r="I27" s="66">
        <f>IF($B27&lt;2,"N/A",TINV(0.05,$B27-1)*SQRT($B27*SUMPRODUCT((('All Data'!I211:I216-'All Data'!C211:C216)-H27*'All Data'!C211:C216)^2)/(($B27-1)*SUM('All Data'!C211:C216)^2)))</f>
        <v>8.9934399184394428E-2</v>
      </c>
      <c r="J27" s="66">
        <f>'Data Summary'!M25</f>
        <v>0.14655080808080809</v>
      </c>
      <c r="K27" s="66">
        <f>'Data Summary'!N25</f>
        <v>7.9106757000796071E-2</v>
      </c>
      <c r="L27" s="66">
        <f>(SUM('All Data'!J211:J216)-SUM('All Data'!E211:E216))/SUM('All Data'!E211:E216)</f>
        <v>-0.1105857575757575</v>
      </c>
      <c r="M27" s="66">
        <f>IF($B27&lt;2,"N/A",TINV(0.05,$B27-1)*SQRT($B27*SUMPRODUCT((('All Data'!J211:J216-'All Data'!E211:E216)-L27*'All Data'!E211:E216)^2)/(($B27-1)*SUM('All Data'!E211:E216)^2)))</f>
        <v>0.12702261148684424</v>
      </c>
      <c r="N27" s="95">
        <f>SUM('All Data'!M211:M216)/(SUM('All Data'!M211:M216)+SUM('All Data'!N211:N216))</f>
        <v>1</v>
      </c>
      <c r="O27" s="96" cm="1">
        <f t="array" ref="O27">IF($B27&lt;2,"N/A",TINV(0.05,$B27-1)*SQRT($B27*SUMPRODUCT(('All Data'!M211:M216-$N27*('All Data'!M211:M216+'All Data'!N211:N216))^2)/(($B27-1)*(SUM('All Data'!M211:M216)+SUM('All Data'!N211:N216))^2)))</f>
        <v>0</v>
      </c>
      <c r="P27" s="95">
        <f>SUM('All Data'!M211:M216)/(SUM('All Data'!M211:M216)+SUM('All Data'!O211:O216))</f>
        <v>0.88787878787878793</v>
      </c>
      <c r="Q27" s="96" cm="1">
        <f t="array" ref="Q27">IF($B27&lt;2,"N/A",TINV(0.05,$B27-1)*SQRT($B27*SUMPRODUCT(('All Data'!M211:M216-$P27*('All Data'!M211:M216+'All Data'!O211:O216))^2)/(($B27-1)*(SUM('All Data'!M211:M216)+SUM('All Data'!O211:O216))^2)))</f>
        <v>8.9934399184394415E-2</v>
      </c>
      <c r="R27" s="95">
        <f>2*SUM('All Data'!M211:M216)/(2*SUM('All Data'!M211:M216)+SUM('All Data'!N211:N216)+SUM('All Data'!O211:O216))</f>
        <v>0.9406099518459069</v>
      </c>
      <c r="S27" s="96">
        <f t="array" ref="S27">IF($B27&lt;2,"N/A",TINV(0.05,$B27-1)*SQRT($B27*SUMPRODUCT((2*'All Data'!M211:M216-$R27*(2*'All Data'!M211:M216+'All Data'!N211:N216+'All Data'!O211:O216))^2)/(($B27-1)*(2*SUM('All Data'!M211:M216)+SUM('All Data'!N211:N216)+SUM('All Data'!O211:O216))^2)))</f>
        <v>5.0467015199485488E-2</v>
      </c>
    </row>
    <row r="28" spans="1:19" ht="15" customHeight="1" x14ac:dyDescent="0.4">
      <c r="A28" s="24" t="str">
        <f>'Data Summary'!B26</f>
        <v>RAZ DC25000</v>
      </c>
      <c r="B28" s="65">
        <f>'Data Summary'!U26</f>
        <v>7</v>
      </c>
      <c r="C28" s="65">
        <f>'Data Summary'!V26</f>
        <v>502</v>
      </c>
      <c r="D28" s="65">
        <f>MIN('All Data'!C16:C22)</f>
        <v>22</v>
      </c>
      <c r="E28" s="65">
        <f>MAX('All Data'!C16:C22)</f>
        <v>80</v>
      </c>
      <c r="F28" s="66">
        <f>'Data Summary'!J26</f>
        <v>1.3944223107569721E-2</v>
      </c>
      <c r="G28" s="66">
        <f>'Data Summary'!K26</f>
        <v>2.2914682685636671E-2</v>
      </c>
      <c r="H28" s="66">
        <f>(SUM('All Data'!I16:I22)-SUM('All Data'!C16:C22))/SUM('All Data'!C16:C22)</f>
        <v>-9.9601593625498006E-3</v>
      </c>
      <c r="I28" s="66">
        <f>IF($B28&lt;2,"N/A",TINV(0.05,$B28-1)*SQRT($B28*SUMPRODUCT((('All Data'!I16:I22-'All Data'!C16:C22)-H28*'All Data'!C16:C22)^2)/(($B28-1)*SUM('All Data'!C16:C22)^2)))</f>
        <v>2.5188641259995516E-2</v>
      </c>
      <c r="J28" s="66">
        <f>'Data Summary'!M26</f>
        <v>3.9820783532536541E-2</v>
      </c>
      <c r="K28" s="66">
        <f>'Data Summary'!N26</f>
        <v>1.1759567386177493E-2</v>
      </c>
      <c r="L28" s="66">
        <f>(SUM('All Data'!J16:J22)-SUM('All Data'!E16:E22))/SUM('All Data'!E16:E22)</f>
        <v>3.3050132802124842E-2</v>
      </c>
      <c r="M28" s="66">
        <f>IF($B28&lt;2,"N/A",TINV(0.05,$B28-1)*SQRT($B28*SUMPRODUCT((('All Data'!J16:J22-'All Data'!E16:E22)-L28*'All Data'!E16:E22)^2)/(($B28-1)*SUM('All Data'!E16:E22)^2)))</f>
        <v>2.6275426780971174E-2</v>
      </c>
      <c r="N28" s="95">
        <f>SUM('All Data'!M16:M22)/(SUM('All Data'!M16:M22)+SUM('All Data'!N16:N22))</f>
        <v>0.99798792756539234</v>
      </c>
      <c r="O28" s="96" cm="1">
        <f t="array" ref="O28">IF($B28&lt;2,"N/A",TINV(0.05,$B28-1)*SQRT($B28*SUMPRODUCT(('All Data'!M16:M22-$N28*('All Data'!M16:M22+'All Data'!N16:N22))^2)/(($B28-1)*(SUM('All Data'!M16:M22)+SUM('All Data'!N16:N22))^2)))</f>
        <v>4.8399193437297589E-3</v>
      </c>
      <c r="P28" s="95">
        <f>SUM('All Data'!M16:M22)/(SUM('All Data'!M16:M22)+SUM('All Data'!O16:O22))</f>
        <v>0.98804780876494025</v>
      </c>
      <c r="Q28" s="96" cm="1">
        <f t="array" ref="Q28">IF($B28&lt;2,"N/A",TINV(0.05,$B28-1)*SQRT($B28*SUMPRODUCT(('All Data'!M16:M22-$P28*('All Data'!M16:M22+'All Data'!O16:O22))^2)/(($B28-1)*(SUM('All Data'!M16:M22)+SUM('All Data'!O16:O22))^2)))</f>
        <v>2.3592667752427698E-2</v>
      </c>
      <c r="R28" s="95">
        <f>2*SUM('All Data'!M16:M22)/(2*SUM('All Data'!M16:M22)+SUM('All Data'!N16:N22)+SUM('All Data'!O16:O22))</f>
        <v>0.99299299299299304</v>
      </c>
      <c r="S28" s="96">
        <f t="array" ref="S28">IF($B28&lt;2,"N/A",TINV(0.05,$B28-1)*SQRT($B28*SUMPRODUCT((2*'All Data'!M16:M22-$R28*(2*'All Data'!M16:M22+'All Data'!N16:N22+'All Data'!O16:O22))^2)/(($B28-1)*(2*SUM('All Data'!M16:M22)+SUM('All Data'!N16:N22)+SUM('All Data'!O16:O22))^2)))</f>
        <v>1.1596704462868319E-2</v>
      </c>
    </row>
    <row r="29" spans="1:19" ht="15" customHeight="1" x14ac:dyDescent="0.4">
      <c r="A29" s="24" t="str">
        <f>'Data Summary'!B27</f>
        <v>Tyson Heavyweight</v>
      </c>
      <c r="B29" s="65">
        <f>'Data Summary'!U27</f>
        <v>15</v>
      </c>
      <c r="C29" s="65">
        <f>'Data Summary'!V27</f>
        <v>600</v>
      </c>
      <c r="D29" s="65">
        <f>MIN('All Data'!C186:C200)</f>
        <v>40</v>
      </c>
      <c r="E29" s="65">
        <f>MAX('All Data'!C186:C200)</f>
        <v>40</v>
      </c>
      <c r="F29" s="66">
        <f>'Data Summary'!J27</f>
        <v>1.1666666666666667E-2</v>
      </c>
      <c r="G29" s="66">
        <f>'Data Summary'!K27</f>
        <v>7.1492889597260141E-3</v>
      </c>
      <c r="H29" s="66">
        <f>(SUM('All Data'!I186:I200)-SUM('All Data'!C186:C200))/SUM('All Data'!C186:C200)</f>
        <v>1.6666666666666668E-3</v>
      </c>
      <c r="I29" s="66">
        <f>IF($B29&lt;2,"N/A",TINV(0.05,$B29-1)*SQRT($B29*SUMPRODUCT((('All Data'!I186:I200-'All Data'!C186:C200)-H29*'All Data'!C186:C200)^2)/(($B29-1)*SUM('All Data'!C186:C200)^2)))</f>
        <v>9.7428385727714572E-3</v>
      </c>
      <c r="J29" s="66">
        <f>'Data Summary'!M27</f>
        <v>8.4069111111111108E-2</v>
      </c>
      <c r="K29" s="66">
        <f>'Data Summary'!N27</f>
        <v>9.32858361615241E-3</v>
      </c>
      <c r="L29" s="66">
        <f>(SUM('All Data'!J186:J200)-SUM('All Data'!E186:E200))/SUM('All Data'!E186:E200)</f>
        <v>8.4069111111111219E-2</v>
      </c>
      <c r="M29" s="66">
        <f>IF($B29&lt;2,"N/A",TINV(0.05,$B29-1)*SQRT($B29*SUMPRODUCT((('All Data'!J186:J200-'All Data'!E186:E200)-L29*'All Data'!E186:E200)^2)/(($B29-1)*SUM('All Data'!E186:E200)^2)))</f>
        <v>9.32858361615241E-3</v>
      </c>
      <c r="N29" s="95">
        <f>SUM('All Data'!M186:M200)/(SUM('All Data'!M186:M200)+SUM('All Data'!N186:N200))</f>
        <v>0.99334442595673877</v>
      </c>
      <c r="O29" s="96" cm="1">
        <f t="array" ref="O29">IF($B29&lt;2,"N/A",TINV(0.05,$B29-1)*SQRT($B29*SUMPRODUCT(('All Data'!M186:M200-$N29*('All Data'!M186:M200+'All Data'!N186:N200))^2)/(($B29-1)*(SUM('All Data'!M186:M200)+SUM('All Data'!N186:N200))^2)))</f>
        <v>6.2731369659033941E-3</v>
      </c>
      <c r="P29" s="95">
        <f>SUM('All Data'!M186:M200)/(SUM('All Data'!M186:M200)+SUM('All Data'!O186:O200))</f>
        <v>0.995</v>
      </c>
      <c r="Q29" s="96" cm="1">
        <f t="array" ref="Q29">IF($B29&lt;2,"N/A",TINV(0.05,$B29-1)*SQRT($B29*SUMPRODUCT(('All Data'!M186:M200-$P29*('All Data'!M186:M200+'All Data'!O186:O200))^2)/(($B29-1)*(SUM('All Data'!M186:M200)+SUM('All Data'!O186:O200))^2)))</f>
        <v>5.732183538501477E-3</v>
      </c>
      <c r="R29" s="95">
        <f>2*SUM('All Data'!M186:M200)/(2*SUM('All Data'!M186:M200)+SUM('All Data'!N186:N200)+SUM('All Data'!O186:O200))</f>
        <v>0.99417152373022477</v>
      </c>
      <c r="S29" s="96">
        <f t="array" ref="S29">IF($B29&lt;2,"N/A",TINV(0.05,$B29-1)*SQRT($B29*SUMPRODUCT((2*'All Data'!M186:M200-$R29*(2*'All Data'!M186:M200+'All Data'!N186:N200+'All Data'!O186:O200))^2)/(($B29-1)*(2*SUM('All Data'!M186:M200)+SUM('All Data'!N186:N200)+SUM('All Data'!O186:O200))^2)))</f>
        <v>3.5688056979238207E-3</v>
      </c>
    </row>
    <row r="30" spans="1:19" ht="15" customHeight="1" x14ac:dyDescent="0.4">
      <c r="A30" s="24" t="str">
        <f>'Data Summary'!B28</f>
        <v>Viho TRX 50k</v>
      </c>
      <c r="B30" s="65">
        <f>'Data Summary'!U28</f>
        <v>8</v>
      </c>
      <c r="C30" s="65">
        <f>'Data Summary'!V28</f>
        <v>826</v>
      </c>
      <c r="D30" s="65">
        <f>MIN('All Data'!C202:C209)</f>
        <v>40</v>
      </c>
      <c r="E30" s="65">
        <f>MAX('All Data'!C202:C209)</f>
        <v>176</v>
      </c>
      <c r="F30" s="66">
        <f>'Data Summary'!J28</f>
        <v>9.6852300242130755E-3</v>
      </c>
      <c r="G30" s="66">
        <f>'Data Summary'!K28</f>
        <v>1.4135829857042058E-2</v>
      </c>
      <c r="H30" s="66">
        <f>(SUM('All Data'!I202:I209)-SUM('All Data'!C202:C209))/SUM('All Data'!C202:C209)</f>
        <v>-9.6852300242130755E-3</v>
      </c>
      <c r="I30" s="66">
        <f>IF($B30&lt;2,"N/A",TINV(0.05,$B30-1)*SQRT($B30*SUMPRODUCT((('All Data'!I202:I209-'All Data'!C202:C209)-H30*'All Data'!C202:C209)^2)/(($B30-1)*SUM('All Data'!C202:C209)^2)))</f>
        <v>1.4135829857042058E-2</v>
      </c>
      <c r="J30" s="66">
        <f>'Data Summary'!M28</f>
        <v>6.38036319612591E-2</v>
      </c>
      <c r="K30" s="66">
        <f>'Data Summary'!N28</f>
        <v>1.4843618986465346E-2</v>
      </c>
      <c r="L30" s="66">
        <f>(SUM('All Data'!J202:J209)-SUM('All Data'!E202:E209))/SUM('All Data'!E202:E209)</f>
        <v>6.3803631961259225E-2</v>
      </c>
      <c r="M30" s="66">
        <f>IF($B30&lt;2,"N/A",TINV(0.05,$B30-1)*SQRT($B30*SUMPRODUCT((('All Data'!J202:J209-'All Data'!E202:E209)-L30*'All Data'!E202:E209)^2)/(($B30-1)*SUM('All Data'!E202:E209)^2)))</f>
        <v>1.4843618986465345E-2</v>
      </c>
      <c r="N30" s="95">
        <f>SUM('All Data'!M202:M209)/(SUM('All Data'!M202:M209)+SUM('All Data'!N202:N209))</f>
        <v>1</v>
      </c>
      <c r="O30" s="96" cm="1">
        <f t="array" ref="O30">IF($B30&lt;2,"N/A",TINV(0.05,$B30-1)*SQRT($B30*SUMPRODUCT(('All Data'!M202:M209-$N30*('All Data'!M202:M209+'All Data'!N202:N209))^2)/(($B30-1)*(SUM('All Data'!M202:M209)+SUM('All Data'!N202:N209))^2)))</f>
        <v>0</v>
      </c>
      <c r="P30" s="95">
        <f>SUM('All Data'!M202:M209)/(SUM('All Data'!M202:M209)+SUM('All Data'!O202:O209))</f>
        <v>0.99031476997578693</v>
      </c>
      <c r="Q30" s="96" cm="1">
        <f t="array" ref="Q30">IF($B30&lt;2,"N/A",TINV(0.05,$B30-1)*SQRT($B30*SUMPRODUCT(('All Data'!M202:M209-$P30*('All Data'!M202:M209+'All Data'!O202:O209))^2)/(($B30-1)*(SUM('All Data'!M202:M209)+SUM('All Data'!O202:O209))^2)))</f>
        <v>1.4135829857042044E-2</v>
      </c>
      <c r="R30" s="95">
        <f>2*SUM('All Data'!M202:M209)/(2*SUM('All Data'!M202:M209)+SUM('All Data'!N202:N209)+SUM('All Data'!O202:O209))</f>
        <v>0.99513381995133821</v>
      </c>
      <c r="S30" s="96">
        <f t="array" ref="S30">IF($B30&lt;2,"N/A",TINV(0.05,$B30-1)*SQRT($B30*SUMPRODUCT((2*'All Data'!M202:M209-$R30*(2*'All Data'!M202:M209+'All Data'!N202:N209+'All Data'!O202:O209))^2)/(($B30-1)*(2*SUM('All Data'!M202:M209)+SUM('All Data'!N202:N209)+SUM('All Data'!O202:O209))^2)))</f>
        <v>7.1368697879062252E-3</v>
      </c>
    </row>
    <row r="31" spans="1:19" ht="15" customHeight="1" x14ac:dyDescent="0.4">
      <c r="A31" s="24"/>
      <c r="B31" s="65"/>
      <c r="C31" s="65"/>
      <c r="D31" s="65"/>
      <c r="E31" s="65"/>
      <c r="F31" s="66"/>
      <c r="G31" s="66"/>
      <c r="H31" s="66"/>
      <c r="I31" s="66"/>
      <c r="J31" s="66"/>
      <c r="K31" s="66"/>
      <c r="L31" s="66"/>
      <c r="M31" s="66"/>
      <c r="N31" s="95"/>
      <c r="O31" s="96"/>
      <c r="P31" s="95"/>
      <c r="Q31" s="96"/>
      <c r="R31" s="95"/>
      <c r="S31" s="96"/>
    </row>
    <row r="32" spans="1:19" ht="15" customHeight="1" x14ac:dyDescent="0.4">
      <c r="A32" s="24"/>
      <c r="B32" s="65"/>
      <c r="C32" s="65"/>
      <c r="D32" s="65"/>
      <c r="E32" s="65"/>
      <c r="F32" s="66"/>
      <c r="G32" s="66"/>
      <c r="H32" s="66"/>
      <c r="I32" s="66"/>
      <c r="J32" s="66"/>
      <c r="K32" s="66"/>
      <c r="L32" s="66"/>
      <c r="M32" s="66"/>
      <c r="N32" s="95"/>
      <c r="O32" s="96"/>
      <c r="P32" s="95"/>
      <c r="Q32" s="96"/>
      <c r="R32" s="95"/>
      <c r="S32" s="96"/>
    </row>
    <row r="33" spans="1:19" ht="15" customHeight="1" x14ac:dyDescent="0.4">
      <c r="A33" s="24"/>
      <c r="B33" s="65"/>
      <c r="C33" s="65"/>
      <c r="D33" s="65"/>
      <c r="E33" s="65"/>
      <c r="F33" s="66"/>
      <c r="G33" s="66"/>
      <c r="H33" s="66"/>
      <c r="I33" s="66"/>
      <c r="J33" s="66"/>
      <c r="K33" s="66"/>
      <c r="L33" s="66"/>
      <c r="M33" s="66"/>
      <c r="N33" s="95"/>
      <c r="O33" s="96"/>
      <c r="P33" s="95"/>
      <c r="Q33" s="96"/>
      <c r="R33" s="95"/>
      <c r="S33" s="96"/>
    </row>
    <row r="34" spans="1:19" ht="15" customHeight="1" x14ac:dyDescent="0.4">
      <c r="A34" s="24"/>
      <c r="B34" s="65"/>
      <c r="C34" s="65"/>
      <c r="D34" s="65"/>
      <c r="E34" s="65"/>
      <c r="F34" s="66"/>
      <c r="G34" s="66"/>
      <c r="H34" s="66"/>
      <c r="I34" s="66"/>
      <c r="J34" s="66"/>
      <c r="K34" s="66"/>
      <c r="L34" s="66"/>
      <c r="M34" s="66"/>
      <c r="N34" s="95"/>
      <c r="O34" s="96"/>
      <c r="P34" s="95"/>
      <c r="Q34" s="96"/>
      <c r="R34" s="95"/>
      <c r="S34" s="96"/>
    </row>
    <row r="37" spans="1:19" ht="15" customHeight="1" x14ac:dyDescent="0.4">
      <c r="A37" s="24"/>
    </row>
    <row r="38" spans="1:19" ht="15" customHeight="1" x14ac:dyDescent="0.4">
      <c r="A38" s="67" t="s">
        <v>80</v>
      </c>
    </row>
    <row r="39" spans="1:19" ht="15" customHeight="1" x14ac:dyDescent="0.4">
      <c r="A39" s="24" t="s">
        <v>59</v>
      </c>
    </row>
    <row r="40" spans="1:19" ht="15" customHeight="1" x14ac:dyDescent="0.4">
      <c r="A40" s="24" t="s">
        <v>60</v>
      </c>
    </row>
    <row r="41" spans="1:19" ht="15" customHeight="1" x14ac:dyDescent="0.4">
      <c r="A41" s="24" t="s">
        <v>61</v>
      </c>
    </row>
    <row r="42" spans="1:19" ht="15" customHeight="1" x14ac:dyDescent="0.4">
      <c r="A42" s="24" t="s">
        <v>62</v>
      </c>
    </row>
    <row r="43" spans="1:19" ht="15" customHeight="1" x14ac:dyDescent="0.4">
      <c r="A43" s="24" t="s">
        <v>63</v>
      </c>
    </row>
    <row r="44" spans="1:19" ht="15" customHeight="1" x14ac:dyDescent="0.4">
      <c r="A44" s="24"/>
    </row>
    <row r="45" spans="1:19" ht="15" customHeight="1" x14ac:dyDescent="0.4">
      <c r="A45" s="67" t="s">
        <v>64</v>
      </c>
    </row>
    <row r="46" spans="1:19" ht="15" customHeight="1" x14ac:dyDescent="0.4">
      <c r="A46" s="24" t="s">
        <v>65</v>
      </c>
    </row>
    <row r="47" spans="1:19" ht="15" customHeight="1" x14ac:dyDescent="0.4">
      <c r="A47" s="24" t="s">
        <v>66</v>
      </c>
    </row>
    <row r="48" spans="1:19" ht="15" customHeight="1" x14ac:dyDescent="0.4">
      <c r="A48" s="24" t="s">
        <v>81</v>
      </c>
    </row>
    <row r="49" spans="1:1" ht="15" customHeight="1" x14ac:dyDescent="0.4">
      <c r="A49" s="2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3"/>
  <sheetViews>
    <sheetView tabSelected="1" topLeftCell="A199" zoomScale="85" zoomScaleNormal="85" workbookViewId="0">
      <pane xSplit="1" topLeftCell="I1" activePane="topRight" state="frozen"/>
      <selection pane="topRight" activeCell="O217" sqref="O217"/>
    </sheetView>
  </sheetViews>
  <sheetFormatPr defaultColWidth="8.69140625" defaultRowHeight="14.6" x14ac:dyDescent="0.4"/>
  <cols>
    <col min="1" max="1" width="24.69140625" customWidth="1"/>
    <col min="2" max="2" width="13.3828125" customWidth="1"/>
    <col min="3" max="3" width="15.15234375" customWidth="1"/>
    <col min="4" max="4" width="17" customWidth="1"/>
    <col min="5" max="5" width="14.84375" customWidth="1"/>
    <col min="6" max="6" width="14" customWidth="1"/>
    <col min="7" max="7" width="15.3046875" customWidth="1"/>
    <col min="8" max="8" width="17.3046875" customWidth="1"/>
    <col min="9" max="9" width="12.53515625" customWidth="1"/>
    <col min="10" max="10" width="22.3828125" customWidth="1"/>
    <col min="11" max="11" width="17.15234375" customWidth="1"/>
    <col min="12" max="12" width="17" customWidth="1"/>
  </cols>
  <sheetData>
    <row r="1" spans="1:20" ht="15" customHeight="1" x14ac:dyDescent="0.4">
      <c r="A1" s="68"/>
      <c r="B1" s="69"/>
      <c r="C1" s="70"/>
      <c r="D1" s="71"/>
      <c r="E1" s="71"/>
      <c r="F1" s="71"/>
      <c r="G1" s="71"/>
      <c r="H1" s="71"/>
      <c r="I1" s="72"/>
      <c r="J1" s="73"/>
      <c r="K1" s="74"/>
      <c r="L1" s="75"/>
    </row>
    <row r="2" spans="1:20" ht="14.25" customHeight="1" x14ac:dyDescent="0.4">
      <c r="A2" s="68" t="s">
        <v>2</v>
      </c>
      <c r="B2" s="69" t="s">
        <v>67</v>
      </c>
      <c r="C2" s="70" t="s">
        <v>3</v>
      </c>
      <c r="D2" s="71" t="s">
        <v>68</v>
      </c>
      <c r="E2" s="71" t="s">
        <v>5</v>
      </c>
      <c r="F2" s="71" t="s">
        <v>6</v>
      </c>
      <c r="G2" s="71" t="s">
        <v>7</v>
      </c>
      <c r="H2" s="71" t="s">
        <v>8</v>
      </c>
      <c r="I2" s="72" t="s">
        <v>9</v>
      </c>
      <c r="J2" s="73" t="s">
        <v>69</v>
      </c>
      <c r="K2" s="74" t="s">
        <v>70</v>
      </c>
      <c r="L2" s="74" t="s">
        <v>71</v>
      </c>
      <c r="M2" s="72" t="s">
        <v>85</v>
      </c>
      <c r="N2" s="73" t="s">
        <v>86</v>
      </c>
      <c r="O2" s="94" t="s">
        <v>87</v>
      </c>
      <c r="Q2" s="31"/>
      <c r="R2" s="31"/>
      <c r="S2" s="31"/>
      <c r="T2" s="31"/>
    </row>
    <row r="3" spans="1:20" ht="14.25" customHeight="1" x14ac:dyDescent="0.4">
      <c r="A3" s="100" t="s">
        <v>29</v>
      </c>
      <c r="B3" s="76">
        <v>1</v>
      </c>
      <c r="C3" s="70">
        <v>80</v>
      </c>
      <c r="D3" s="71">
        <v>3</v>
      </c>
      <c r="E3" s="71">
        <f t="shared" ref="E3:E8" si="0">C3*D3</f>
        <v>240</v>
      </c>
      <c r="F3" s="71">
        <v>18</v>
      </c>
      <c r="G3" s="71">
        <v>120</v>
      </c>
      <c r="H3" s="71">
        <v>40</v>
      </c>
      <c r="I3" s="30">
        <v>80</v>
      </c>
      <c r="J3" s="31">
        <v>238.74639999999999</v>
      </c>
      <c r="K3" s="31">
        <f t="shared" ref="K3:K8" si="1">ABS((I3-C3)/C3)</f>
        <v>0</v>
      </c>
      <c r="L3" s="31">
        <f t="shared" ref="L3:L8" si="2">ABS((J3-E3)/E3)</f>
        <v>5.2233333333333576E-3</v>
      </c>
      <c r="M3" s="26">
        <v>80</v>
      </c>
      <c r="N3" s="13">
        <v>0</v>
      </c>
      <c r="O3" s="83">
        <f>(C3-M3)</f>
        <v>0</v>
      </c>
      <c r="Q3" s="31"/>
      <c r="R3" s="31"/>
      <c r="S3" s="31"/>
      <c r="T3" s="31"/>
    </row>
    <row r="4" spans="1:20" ht="14.25" customHeight="1" x14ac:dyDescent="0.4">
      <c r="A4" s="100"/>
      <c r="B4">
        <v>2</v>
      </c>
      <c r="C4" s="30">
        <v>80</v>
      </c>
      <c r="D4" s="31">
        <v>3</v>
      </c>
      <c r="E4" s="31">
        <f t="shared" si="0"/>
        <v>240</v>
      </c>
      <c r="F4" s="31">
        <v>18</v>
      </c>
      <c r="G4" s="31">
        <v>120</v>
      </c>
      <c r="H4" s="31">
        <v>40</v>
      </c>
      <c r="I4" s="30">
        <v>80</v>
      </c>
      <c r="J4" s="31">
        <v>244.4862</v>
      </c>
      <c r="K4" s="31">
        <f t="shared" si="1"/>
        <v>0</v>
      </c>
      <c r="L4" s="31">
        <f t="shared" si="2"/>
        <v>1.8692499999999987E-2</v>
      </c>
      <c r="M4" s="26">
        <v>80</v>
      </c>
      <c r="N4" s="13">
        <v>0</v>
      </c>
      <c r="O4" s="83">
        <f t="shared" ref="O4:O43" si="3">(C4-M4)</f>
        <v>0</v>
      </c>
      <c r="Q4" s="31"/>
      <c r="R4" s="31"/>
      <c r="S4" s="31"/>
      <c r="T4" s="31"/>
    </row>
    <row r="5" spans="1:20" ht="14.25" customHeight="1" x14ac:dyDescent="0.4">
      <c r="A5" s="100"/>
      <c r="B5">
        <v>3</v>
      </c>
      <c r="C5" s="30">
        <v>80</v>
      </c>
      <c r="D5" s="31">
        <v>3</v>
      </c>
      <c r="E5" s="31">
        <f t="shared" si="0"/>
        <v>240</v>
      </c>
      <c r="F5" s="31">
        <v>18</v>
      </c>
      <c r="G5" s="31">
        <v>120</v>
      </c>
      <c r="H5" s="31">
        <v>40</v>
      </c>
      <c r="I5" s="30">
        <v>80</v>
      </c>
      <c r="J5" s="31">
        <v>250.05719999999999</v>
      </c>
      <c r="K5" s="31">
        <f t="shared" si="1"/>
        <v>0</v>
      </c>
      <c r="L5" s="31">
        <f t="shared" si="2"/>
        <v>4.1904999999999977E-2</v>
      </c>
      <c r="M5" s="26">
        <v>80</v>
      </c>
      <c r="N5" s="13">
        <v>0</v>
      </c>
      <c r="O5" s="83">
        <f t="shared" si="3"/>
        <v>0</v>
      </c>
      <c r="Q5" s="31"/>
      <c r="R5" s="31"/>
      <c r="S5" s="31"/>
      <c r="T5" s="31"/>
    </row>
    <row r="6" spans="1:20" ht="14.25" customHeight="1" x14ac:dyDescent="0.4">
      <c r="A6" s="100"/>
      <c r="B6">
        <v>4</v>
      </c>
      <c r="C6" s="30">
        <v>80</v>
      </c>
      <c r="D6" s="31">
        <v>3</v>
      </c>
      <c r="E6" s="31">
        <f t="shared" si="0"/>
        <v>240</v>
      </c>
      <c r="F6" s="31">
        <v>18</v>
      </c>
      <c r="G6" s="31">
        <v>120</v>
      </c>
      <c r="H6" s="31">
        <v>40</v>
      </c>
      <c r="I6" s="30">
        <v>80</v>
      </c>
      <c r="J6" s="31">
        <v>249.41800000000001</v>
      </c>
      <c r="K6" s="31">
        <f t="shared" si="1"/>
        <v>0</v>
      </c>
      <c r="L6" s="31">
        <f t="shared" si="2"/>
        <v>3.9241666666666696E-2</v>
      </c>
      <c r="M6" s="26">
        <v>80</v>
      </c>
      <c r="N6" s="13">
        <v>0</v>
      </c>
      <c r="O6" s="83">
        <f t="shared" si="3"/>
        <v>0</v>
      </c>
      <c r="Q6" s="31"/>
      <c r="R6" s="31"/>
      <c r="S6" s="31"/>
      <c r="T6" s="31"/>
    </row>
    <row r="7" spans="1:20" ht="14.25" customHeight="1" x14ac:dyDescent="0.4">
      <c r="A7" s="100"/>
      <c r="B7">
        <v>5</v>
      </c>
      <c r="C7" s="30">
        <v>80</v>
      </c>
      <c r="D7" s="31">
        <v>3</v>
      </c>
      <c r="E7" s="31">
        <f t="shared" si="0"/>
        <v>240</v>
      </c>
      <c r="F7" s="31">
        <v>18</v>
      </c>
      <c r="G7" s="31">
        <v>120</v>
      </c>
      <c r="H7" s="31">
        <v>40</v>
      </c>
      <c r="I7" s="30">
        <v>80</v>
      </c>
      <c r="J7" s="31">
        <v>248.3032</v>
      </c>
      <c r="K7" s="31">
        <f t="shared" si="1"/>
        <v>0</v>
      </c>
      <c r="L7" s="31">
        <f t="shared" si="2"/>
        <v>3.4596666666666685E-2</v>
      </c>
      <c r="M7" s="26">
        <v>80</v>
      </c>
      <c r="N7" s="13">
        <v>0</v>
      </c>
      <c r="O7" s="83">
        <f t="shared" si="3"/>
        <v>0</v>
      </c>
      <c r="Q7" s="31"/>
      <c r="R7" s="31"/>
      <c r="S7" s="31"/>
      <c r="T7" s="31"/>
    </row>
    <row r="8" spans="1:20" ht="14.25" customHeight="1" x14ac:dyDescent="0.4">
      <c r="A8" s="100"/>
      <c r="B8">
        <v>6</v>
      </c>
      <c r="C8" s="30">
        <v>48</v>
      </c>
      <c r="D8" s="31">
        <v>3</v>
      </c>
      <c r="E8" s="31">
        <f t="shared" si="0"/>
        <v>144</v>
      </c>
      <c r="F8" s="31">
        <v>18</v>
      </c>
      <c r="G8" s="31">
        <v>120</v>
      </c>
      <c r="H8" s="31">
        <v>40</v>
      </c>
      <c r="I8" s="30">
        <v>48</v>
      </c>
      <c r="J8" s="31">
        <v>149.24709999999999</v>
      </c>
      <c r="K8" s="31">
        <f t="shared" si="1"/>
        <v>0</v>
      </c>
      <c r="L8" s="31">
        <f t="shared" si="2"/>
        <v>3.643819444444437E-2</v>
      </c>
      <c r="M8" s="26">
        <v>48</v>
      </c>
      <c r="N8" s="13">
        <v>0</v>
      </c>
      <c r="O8" s="83">
        <f t="shared" si="3"/>
        <v>0</v>
      </c>
      <c r="Q8" s="31"/>
      <c r="R8" s="31"/>
      <c r="S8" s="31"/>
      <c r="T8" s="31"/>
    </row>
    <row r="9" spans="1:20" ht="14.25" customHeight="1" x14ac:dyDescent="0.4">
      <c r="A9" s="100"/>
      <c r="B9" s="77" t="s">
        <v>72</v>
      </c>
      <c r="C9" s="78">
        <f>SUM(C3:C8)</f>
        <v>448</v>
      </c>
      <c r="D9" s="79" t="s">
        <v>73</v>
      </c>
      <c r="E9" s="79">
        <f>SUM(E3:E8)</f>
        <v>1344</v>
      </c>
      <c r="F9" s="79" t="s">
        <v>73</v>
      </c>
      <c r="G9" s="79" t="s">
        <v>73</v>
      </c>
      <c r="H9" s="79" t="s">
        <v>73</v>
      </c>
      <c r="I9" s="78">
        <f>SUM(I3:I8)</f>
        <v>448</v>
      </c>
      <c r="J9" s="79">
        <f>SUM(J3:J8)</f>
        <v>1380.2581</v>
      </c>
      <c r="K9" s="50"/>
      <c r="L9" s="50"/>
      <c r="M9" s="89">
        <f>SUM(M3:M8)</f>
        <v>448</v>
      </c>
      <c r="N9" s="89">
        <f t="shared" ref="N9:O9" si="4">SUM(N3:N8)</f>
        <v>0</v>
      </c>
      <c r="O9" s="92">
        <f t="shared" si="4"/>
        <v>0</v>
      </c>
      <c r="Q9" s="31"/>
      <c r="R9" s="31"/>
      <c r="S9" s="31"/>
      <c r="T9" s="31"/>
    </row>
    <row r="10" spans="1:20" ht="14.25" customHeight="1" x14ac:dyDescent="0.4">
      <c r="A10" s="100" t="s">
        <v>32</v>
      </c>
      <c r="B10" s="76">
        <v>1</v>
      </c>
      <c r="C10" s="30">
        <v>80</v>
      </c>
      <c r="D10" s="31">
        <v>3</v>
      </c>
      <c r="E10" s="31">
        <f>C10*D10</f>
        <v>240</v>
      </c>
      <c r="F10" s="31">
        <v>18</v>
      </c>
      <c r="G10" s="31">
        <v>120</v>
      </c>
      <c r="H10" s="31">
        <v>40</v>
      </c>
      <c r="I10" s="30">
        <v>80</v>
      </c>
      <c r="J10" s="31">
        <v>249.93459999999999</v>
      </c>
      <c r="K10" s="31">
        <f>ABS((I10-C10)/C10)</f>
        <v>0</v>
      </c>
      <c r="L10" s="31">
        <f>ABS((J10-E10)/E10)</f>
        <v>4.1394166666666621E-2</v>
      </c>
      <c r="M10" s="26">
        <v>80</v>
      </c>
      <c r="N10" s="13">
        <v>0</v>
      </c>
      <c r="O10" s="83">
        <f t="shared" si="3"/>
        <v>0</v>
      </c>
      <c r="Q10" s="31"/>
      <c r="R10" s="31"/>
      <c r="S10" s="31"/>
      <c r="T10" s="31"/>
    </row>
    <row r="11" spans="1:20" ht="14.25" customHeight="1" x14ac:dyDescent="0.4">
      <c r="A11" s="100"/>
      <c r="B11">
        <v>2</v>
      </c>
      <c r="C11" s="30">
        <v>80</v>
      </c>
      <c r="D11" s="31">
        <v>3</v>
      </c>
      <c r="E11" s="31">
        <f>C11*D11</f>
        <v>240</v>
      </c>
      <c r="F11" s="31">
        <v>18</v>
      </c>
      <c r="G11" s="31">
        <v>120</v>
      </c>
      <c r="H11" s="31">
        <v>40</v>
      </c>
      <c r="I11" s="30">
        <v>82</v>
      </c>
      <c r="J11" s="31">
        <v>252.4966</v>
      </c>
      <c r="K11" s="31">
        <f>ABS((I11-C11)/C11)</f>
        <v>2.5000000000000001E-2</v>
      </c>
      <c r="L11" s="31">
        <f>ABS((J11-E11)/E11)</f>
        <v>5.2069166666666673E-2</v>
      </c>
      <c r="M11" s="26">
        <v>80</v>
      </c>
      <c r="N11" s="13">
        <v>2</v>
      </c>
      <c r="O11" s="83">
        <f t="shared" si="3"/>
        <v>0</v>
      </c>
    </row>
    <row r="12" spans="1:20" ht="14.25" customHeight="1" x14ac:dyDescent="0.4">
      <c r="A12" s="100"/>
      <c r="B12">
        <v>3</v>
      </c>
      <c r="C12" s="30">
        <v>80</v>
      </c>
      <c r="D12" s="31">
        <v>3</v>
      </c>
      <c r="E12" s="31">
        <f>C12*D12</f>
        <v>240</v>
      </c>
      <c r="F12" s="31">
        <v>18</v>
      </c>
      <c r="G12" s="31">
        <v>120</v>
      </c>
      <c r="H12" s="31">
        <v>40</v>
      </c>
      <c r="I12" s="30">
        <v>81</v>
      </c>
      <c r="J12" s="31">
        <v>251.0437</v>
      </c>
      <c r="K12" s="31">
        <f>ABS((I12-C12)/C12)</f>
        <v>1.2500000000000001E-2</v>
      </c>
      <c r="L12" s="31">
        <f>ABS((J12-E12)/E12)</f>
        <v>4.601541666666667E-2</v>
      </c>
      <c r="M12" s="26">
        <v>80</v>
      </c>
      <c r="N12" s="13">
        <v>1</v>
      </c>
      <c r="O12" s="83">
        <f t="shared" si="3"/>
        <v>0</v>
      </c>
    </row>
    <row r="13" spans="1:20" ht="14.25" customHeight="1" x14ac:dyDescent="0.4">
      <c r="A13" s="100"/>
      <c r="B13">
        <v>4</v>
      </c>
      <c r="C13" s="30">
        <v>80</v>
      </c>
      <c r="D13" s="31">
        <v>3</v>
      </c>
      <c r="E13" s="31">
        <f>C13*D13</f>
        <v>240</v>
      </c>
      <c r="F13" s="31">
        <v>18</v>
      </c>
      <c r="G13" s="31">
        <v>120</v>
      </c>
      <c r="H13" s="31">
        <v>40</v>
      </c>
      <c r="I13" s="30">
        <v>80</v>
      </c>
      <c r="J13" s="31">
        <v>250.5128</v>
      </c>
      <c r="K13" s="31">
        <f>ABS((I13-C13)/C13)</f>
        <v>0</v>
      </c>
      <c r="L13" s="31">
        <f>ABS((J13-E13)/E13)</f>
        <v>4.3803333333333326E-2</v>
      </c>
      <c r="M13" s="26">
        <v>80</v>
      </c>
      <c r="N13" s="13">
        <v>0</v>
      </c>
      <c r="O13" s="83">
        <f t="shared" si="3"/>
        <v>0</v>
      </c>
    </row>
    <row r="14" spans="1:20" ht="14.25" customHeight="1" x14ac:dyDescent="0.4">
      <c r="A14" s="100"/>
      <c r="B14">
        <v>5</v>
      </c>
      <c r="C14" s="30">
        <v>80</v>
      </c>
      <c r="D14" s="31">
        <v>3</v>
      </c>
      <c r="E14" s="31">
        <f>C14*D14</f>
        <v>240</v>
      </c>
      <c r="F14" s="31">
        <v>18</v>
      </c>
      <c r="G14" s="31">
        <v>120</v>
      </c>
      <c r="H14" s="31">
        <v>40</v>
      </c>
      <c r="I14" s="30">
        <v>80</v>
      </c>
      <c r="J14" s="31">
        <v>248.7225</v>
      </c>
      <c r="K14" s="31">
        <f>ABS((I14-C14)/C14)</f>
        <v>0</v>
      </c>
      <c r="L14" s="31">
        <f>ABS((J14-E14)/E14)</f>
        <v>3.6343749999999987E-2</v>
      </c>
      <c r="M14" s="26">
        <v>80</v>
      </c>
      <c r="N14" s="13">
        <v>0</v>
      </c>
      <c r="O14" s="83">
        <f t="shared" si="3"/>
        <v>0</v>
      </c>
    </row>
    <row r="15" spans="1:20" ht="14.25" customHeight="1" x14ac:dyDescent="0.4">
      <c r="A15" s="100"/>
      <c r="B15" s="77" t="s">
        <v>72</v>
      </c>
      <c r="C15" s="78">
        <f>SUM(C10:C14)</f>
        <v>400</v>
      </c>
      <c r="D15" s="79" t="s">
        <v>73</v>
      </c>
      <c r="E15" s="79">
        <f>SUM(E10:E14)</f>
        <v>1200</v>
      </c>
      <c r="F15" s="79" t="s">
        <v>73</v>
      </c>
      <c r="G15" s="79" t="s">
        <v>73</v>
      </c>
      <c r="H15" s="79" t="s">
        <v>73</v>
      </c>
      <c r="I15" s="78">
        <f>SUM(I10:I14)</f>
        <v>403</v>
      </c>
      <c r="J15" s="79">
        <f>SUM(J10:J14)</f>
        <v>1252.7102</v>
      </c>
      <c r="K15" s="50"/>
      <c r="L15" s="50"/>
      <c r="M15" s="89">
        <f>SUM(M10:M14)</f>
        <v>400</v>
      </c>
      <c r="N15" s="89">
        <f t="shared" ref="N15:O15" si="5">SUM(N10:N14)</f>
        <v>3</v>
      </c>
      <c r="O15" s="92">
        <f t="shared" si="5"/>
        <v>0</v>
      </c>
    </row>
    <row r="16" spans="1:20" ht="14.25" customHeight="1" x14ac:dyDescent="0.4">
      <c r="A16" s="100" t="s">
        <v>48</v>
      </c>
      <c r="B16" s="76">
        <v>1</v>
      </c>
      <c r="C16" s="30">
        <v>80</v>
      </c>
      <c r="D16" s="31">
        <v>3</v>
      </c>
      <c r="E16" s="31">
        <f>C16*D16</f>
        <v>240</v>
      </c>
      <c r="F16" s="31">
        <v>18</v>
      </c>
      <c r="G16" s="31">
        <v>120</v>
      </c>
      <c r="H16" s="31">
        <v>40</v>
      </c>
      <c r="I16" s="30">
        <v>81</v>
      </c>
      <c r="J16" s="31">
        <v>253.93510000000001</v>
      </c>
      <c r="K16" s="31">
        <f t="shared" ref="K16:K22" si="6">ABS((I16-C16)/C16)</f>
        <v>1.2500000000000001E-2</v>
      </c>
      <c r="L16" s="31">
        <f t="shared" ref="L16:L22" si="7">ABS((J16-E16)/E16)</f>
        <v>5.8062916666666693E-2</v>
      </c>
      <c r="M16" s="26">
        <v>80</v>
      </c>
      <c r="N16" s="13">
        <v>1</v>
      </c>
      <c r="O16" s="83">
        <f t="shared" si="3"/>
        <v>0</v>
      </c>
    </row>
    <row r="17" spans="1:15" ht="14.25" customHeight="1" x14ac:dyDescent="0.4">
      <c r="A17" s="100"/>
      <c r="B17">
        <v>2</v>
      </c>
      <c r="C17" s="30">
        <v>80</v>
      </c>
      <c r="D17" s="31">
        <v>3</v>
      </c>
      <c r="E17" s="31">
        <f>C17*D17</f>
        <v>240</v>
      </c>
      <c r="F17" s="31">
        <v>18</v>
      </c>
      <c r="G17" s="31">
        <v>120</v>
      </c>
      <c r="H17" s="31">
        <v>40</v>
      </c>
      <c r="I17" s="30">
        <v>80</v>
      </c>
      <c r="J17" s="31">
        <v>250.8108</v>
      </c>
      <c r="K17" s="31">
        <f t="shared" si="6"/>
        <v>0</v>
      </c>
      <c r="L17" s="31">
        <f t="shared" si="7"/>
        <v>4.5045000000000002E-2</v>
      </c>
      <c r="M17" s="26">
        <v>80</v>
      </c>
      <c r="N17" s="13">
        <v>0</v>
      </c>
      <c r="O17" s="83">
        <f t="shared" si="3"/>
        <v>0</v>
      </c>
    </row>
    <row r="18" spans="1:15" ht="14.25" customHeight="1" x14ac:dyDescent="0.4">
      <c r="A18" s="100"/>
      <c r="B18">
        <v>3</v>
      </c>
      <c r="C18" s="30">
        <v>80</v>
      </c>
      <c r="D18" s="31">
        <v>3</v>
      </c>
      <c r="E18" s="31">
        <f>C18*D18</f>
        <v>240</v>
      </c>
      <c r="F18" s="31">
        <v>18</v>
      </c>
      <c r="G18" s="31">
        <v>120</v>
      </c>
      <c r="H18" s="31">
        <v>40</v>
      </c>
      <c r="I18" s="30">
        <v>80</v>
      </c>
      <c r="J18" s="31">
        <v>250.37180000000001</v>
      </c>
      <c r="K18" s="31">
        <f t="shared" si="6"/>
        <v>0</v>
      </c>
      <c r="L18" s="31">
        <f t="shared" si="7"/>
        <v>4.3215833333333363E-2</v>
      </c>
      <c r="M18" s="26">
        <v>80</v>
      </c>
      <c r="N18" s="13">
        <v>0</v>
      </c>
      <c r="O18" s="83">
        <f t="shared" si="3"/>
        <v>0</v>
      </c>
    </row>
    <row r="19" spans="1:15" ht="14.25" customHeight="1" x14ac:dyDescent="0.4">
      <c r="A19" s="100"/>
      <c r="B19">
        <v>4</v>
      </c>
      <c r="C19" s="30">
        <v>80</v>
      </c>
      <c r="D19" s="31">
        <v>3</v>
      </c>
      <c r="E19" s="31">
        <f>C19*D19</f>
        <v>240</v>
      </c>
      <c r="F19" s="31">
        <v>18</v>
      </c>
      <c r="G19" s="31">
        <v>120</v>
      </c>
      <c r="H19" s="31">
        <v>40</v>
      </c>
      <c r="I19" s="30">
        <v>79</v>
      </c>
      <c r="J19" s="31">
        <v>247.80160000000001</v>
      </c>
      <c r="K19" s="31">
        <f t="shared" si="6"/>
        <v>1.2500000000000001E-2</v>
      </c>
      <c r="L19" s="31">
        <f t="shared" si="7"/>
        <v>3.2506666666666698E-2</v>
      </c>
      <c r="M19" s="26">
        <v>79</v>
      </c>
      <c r="N19" s="13">
        <v>0</v>
      </c>
      <c r="O19" s="83">
        <f t="shared" si="3"/>
        <v>1</v>
      </c>
    </row>
    <row r="20" spans="1:15" ht="14.25" customHeight="1" x14ac:dyDescent="0.4">
      <c r="A20" s="100"/>
      <c r="B20">
        <v>5</v>
      </c>
      <c r="C20" s="30">
        <v>80</v>
      </c>
      <c r="D20" s="31">
        <v>3</v>
      </c>
      <c r="E20" s="31">
        <f>C20*D20</f>
        <v>240</v>
      </c>
      <c r="F20" s="31">
        <v>18</v>
      </c>
      <c r="G20" s="31">
        <v>120</v>
      </c>
      <c r="H20" s="31">
        <v>40</v>
      </c>
      <c r="I20" s="30">
        <v>80</v>
      </c>
      <c r="J20" s="31">
        <v>249.94470000000001</v>
      </c>
      <c r="K20" s="31">
        <f t="shared" si="6"/>
        <v>0</v>
      </c>
      <c r="L20" s="31">
        <f t="shared" si="7"/>
        <v>4.1436250000000049E-2</v>
      </c>
      <c r="M20" s="26">
        <v>80</v>
      </c>
      <c r="N20" s="13">
        <v>0</v>
      </c>
      <c r="O20" s="83">
        <f t="shared" si="3"/>
        <v>0</v>
      </c>
    </row>
    <row r="21" spans="1:15" ht="14.25" customHeight="1" x14ac:dyDescent="0.4">
      <c r="A21" s="100"/>
      <c r="B21">
        <v>6</v>
      </c>
      <c r="C21" s="30">
        <v>80</v>
      </c>
      <c r="D21" s="31">
        <v>3</v>
      </c>
      <c r="E21" s="31">
        <v>240</v>
      </c>
      <c r="F21" s="31">
        <v>18</v>
      </c>
      <c r="G21" s="31">
        <v>120</v>
      </c>
      <c r="H21" s="31">
        <v>40</v>
      </c>
      <c r="I21" s="30">
        <v>75</v>
      </c>
      <c r="J21" s="31">
        <v>234.90170000000001</v>
      </c>
      <c r="K21" s="31">
        <f t="shared" si="6"/>
        <v>6.25E-2</v>
      </c>
      <c r="L21" s="31">
        <f t="shared" si="7"/>
        <v>2.1242916666666646E-2</v>
      </c>
      <c r="M21" s="26">
        <v>75</v>
      </c>
      <c r="N21" s="13">
        <v>0</v>
      </c>
      <c r="O21" s="83">
        <f t="shared" si="3"/>
        <v>5</v>
      </c>
    </row>
    <row r="22" spans="1:15" ht="14.25" customHeight="1" x14ac:dyDescent="0.4">
      <c r="A22" s="100"/>
      <c r="B22">
        <v>7</v>
      </c>
      <c r="C22" s="30">
        <v>22</v>
      </c>
      <c r="D22" s="31">
        <v>3</v>
      </c>
      <c r="E22" s="31">
        <f>C22*D22</f>
        <v>66</v>
      </c>
      <c r="F22" s="31">
        <v>18</v>
      </c>
      <c r="G22" s="31">
        <v>120</v>
      </c>
      <c r="H22" s="31">
        <v>40</v>
      </c>
      <c r="I22" s="30">
        <v>22</v>
      </c>
      <c r="J22" s="31">
        <v>68.007800000000003</v>
      </c>
      <c r="K22" s="31">
        <f t="shared" si="6"/>
        <v>0</v>
      </c>
      <c r="L22" s="31">
        <f t="shared" si="7"/>
        <v>3.0421212121212168E-2</v>
      </c>
      <c r="M22" s="26">
        <v>22</v>
      </c>
      <c r="N22" s="13">
        <v>0</v>
      </c>
      <c r="O22" s="83">
        <f t="shared" si="3"/>
        <v>0</v>
      </c>
    </row>
    <row r="23" spans="1:15" ht="14.25" customHeight="1" x14ac:dyDescent="0.4">
      <c r="A23" s="100"/>
      <c r="B23" s="77" t="s">
        <v>72</v>
      </c>
      <c r="C23" s="78">
        <f>SUM(C16:C22)</f>
        <v>502</v>
      </c>
      <c r="D23" s="79" t="s">
        <v>73</v>
      </c>
      <c r="E23" s="79">
        <f>SUM(E16:E22)</f>
        <v>1506</v>
      </c>
      <c r="F23" s="79" t="s">
        <v>73</v>
      </c>
      <c r="G23" s="79" t="s">
        <v>73</v>
      </c>
      <c r="H23" s="79" t="s">
        <v>73</v>
      </c>
      <c r="I23" s="78">
        <f>SUM(I16:I22)</f>
        <v>497</v>
      </c>
      <c r="J23" s="79">
        <f>SUM(J16:J22)</f>
        <v>1555.7735</v>
      </c>
      <c r="K23" s="50"/>
      <c r="L23" s="50"/>
      <c r="M23" s="89">
        <f>SUM(M16:M22)</f>
        <v>496</v>
      </c>
      <c r="N23" s="89">
        <f t="shared" ref="N23:O23" si="8">SUM(N16:N22)</f>
        <v>1</v>
      </c>
      <c r="O23" s="92">
        <f t="shared" si="8"/>
        <v>6</v>
      </c>
    </row>
    <row r="24" spans="1:15" ht="14.25" customHeight="1" x14ac:dyDescent="0.4">
      <c r="A24" s="100" t="s">
        <v>41</v>
      </c>
      <c r="B24" s="76">
        <v>1</v>
      </c>
      <c r="C24" s="30">
        <v>80</v>
      </c>
      <c r="D24" s="31">
        <v>3</v>
      </c>
      <c r="E24" s="31">
        <f t="shared" ref="E24:E29" si="9">C24*D24</f>
        <v>240</v>
      </c>
      <c r="F24" s="31">
        <v>18</v>
      </c>
      <c r="G24" s="31">
        <v>120</v>
      </c>
      <c r="H24" s="31">
        <v>40</v>
      </c>
      <c r="I24" s="30">
        <v>79</v>
      </c>
      <c r="J24" s="31">
        <v>242.50569999999999</v>
      </c>
      <c r="K24" s="31">
        <f t="shared" ref="K24:K29" si="10">ABS((I24-C24)/C24)</f>
        <v>1.2500000000000001E-2</v>
      </c>
      <c r="L24" s="31">
        <f t="shared" ref="L24:L29" si="11">ABS((J24-E24)/E24)</f>
        <v>1.0440416666666626E-2</v>
      </c>
      <c r="M24" s="26">
        <v>79</v>
      </c>
      <c r="N24" s="13">
        <v>0</v>
      </c>
      <c r="O24" s="83">
        <f t="shared" si="3"/>
        <v>1</v>
      </c>
    </row>
    <row r="25" spans="1:15" ht="14.25" customHeight="1" x14ac:dyDescent="0.4">
      <c r="A25" s="100"/>
      <c r="B25">
        <v>2</v>
      </c>
      <c r="C25" s="30">
        <v>80</v>
      </c>
      <c r="D25" s="31">
        <v>3</v>
      </c>
      <c r="E25" s="31">
        <f t="shared" si="9"/>
        <v>240</v>
      </c>
      <c r="F25" s="31">
        <v>18</v>
      </c>
      <c r="G25" s="31">
        <v>120</v>
      </c>
      <c r="H25" s="31">
        <v>40</v>
      </c>
      <c r="I25" s="30">
        <v>78</v>
      </c>
      <c r="J25" s="31">
        <v>244.0737</v>
      </c>
      <c r="K25" s="31">
        <f t="shared" si="10"/>
        <v>2.5000000000000001E-2</v>
      </c>
      <c r="L25" s="31">
        <f t="shared" si="11"/>
        <v>1.697375000000001E-2</v>
      </c>
      <c r="M25" s="26">
        <v>78</v>
      </c>
      <c r="N25" s="13">
        <v>0</v>
      </c>
      <c r="O25" s="83">
        <f t="shared" si="3"/>
        <v>2</v>
      </c>
    </row>
    <row r="26" spans="1:15" ht="14.25" customHeight="1" x14ac:dyDescent="0.4">
      <c r="A26" s="100"/>
      <c r="B26">
        <v>3</v>
      </c>
      <c r="C26" s="30">
        <v>80</v>
      </c>
      <c r="D26" s="31">
        <v>3</v>
      </c>
      <c r="E26" s="31">
        <f t="shared" si="9"/>
        <v>240</v>
      </c>
      <c r="F26" s="31">
        <v>18</v>
      </c>
      <c r="G26" s="31">
        <v>120</v>
      </c>
      <c r="H26" s="31">
        <v>40</v>
      </c>
      <c r="I26" s="30">
        <v>81</v>
      </c>
      <c r="J26" s="31">
        <v>250.9333</v>
      </c>
      <c r="K26" s="31">
        <f t="shared" si="10"/>
        <v>1.2500000000000001E-2</v>
      </c>
      <c r="L26" s="31">
        <f t="shared" si="11"/>
        <v>4.5555416666666675E-2</v>
      </c>
      <c r="M26" s="26">
        <v>80</v>
      </c>
      <c r="N26" s="13">
        <v>1</v>
      </c>
      <c r="O26" s="83">
        <f t="shared" si="3"/>
        <v>0</v>
      </c>
    </row>
    <row r="27" spans="1:15" ht="14.25" customHeight="1" x14ac:dyDescent="0.4">
      <c r="A27" s="100"/>
      <c r="B27">
        <v>4</v>
      </c>
      <c r="C27" s="30">
        <v>80</v>
      </c>
      <c r="D27" s="31">
        <v>3</v>
      </c>
      <c r="E27" s="31">
        <f t="shared" si="9"/>
        <v>240</v>
      </c>
      <c r="F27" s="31">
        <v>18</v>
      </c>
      <c r="G27" s="31">
        <v>120</v>
      </c>
      <c r="H27" s="31">
        <v>40</v>
      </c>
      <c r="I27" s="30">
        <v>76</v>
      </c>
      <c r="J27" s="31">
        <v>237.7629</v>
      </c>
      <c r="K27" s="31">
        <f t="shared" si="10"/>
        <v>0.05</v>
      </c>
      <c r="L27" s="31">
        <f t="shared" si="11"/>
        <v>9.3212499999999927E-3</v>
      </c>
      <c r="M27" s="26">
        <v>76</v>
      </c>
      <c r="N27" s="13">
        <v>0</v>
      </c>
      <c r="O27" s="83">
        <f t="shared" si="3"/>
        <v>4</v>
      </c>
    </row>
    <row r="28" spans="1:15" ht="14.25" customHeight="1" x14ac:dyDescent="0.4">
      <c r="A28" s="100"/>
      <c r="B28">
        <v>5</v>
      </c>
      <c r="C28" s="30">
        <v>80</v>
      </c>
      <c r="D28" s="31">
        <v>3</v>
      </c>
      <c r="E28" s="31">
        <f t="shared" si="9"/>
        <v>240</v>
      </c>
      <c r="F28" s="31">
        <v>18</v>
      </c>
      <c r="G28" s="31">
        <v>120</v>
      </c>
      <c r="H28" s="31">
        <v>40</v>
      </c>
      <c r="I28" s="30">
        <v>78</v>
      </c>
      <c r="J28" s="31">
        <v>244.59039999999999</v>
      </c>
      <c r="K28" s="31">
        <f t="shared" si="10"/>
        <v>2.5000000000000001E-2</v>
      </c>
      <c r="L28" s="31">
        <f t="shared" si="11"/>
        <v>1.9126666666666618E-2</v>
      </c>
      <c r="M28" s="26">
        <v>78</v>
      </c>
      <c r="N28" s="13">
        <v>0</v>
      </c>
      <c r="O28" s="83">
        <f t="shared" si="3"/>
        <v>2</v>
      </c>
    </row>
    <row r="29" spans="1:15" ht="14.25" customHeight="1" x14ac:dyDescent="0.4">
      <c r="A29" s="100"/>
      <c r="B29">
        <v>6</v>
      </c>
      <c r="C29" s="30">
        <v>55</v>
      </c>
      <c r="D29" s="31">
        <v>3</v>
      </c>
      <c r="E29" s="31">
        <f t="shared" si="9"/>
        <v>165</v>
      </c>
      <c r="F29" s="31">
        <v>18</v>
      </c>
      <c r="G29" s="31">
        <v>120</v>
      </c>
      <c r="H29" s="31">
        <v>40</v>
      </c>
      <c r="I29" s="30">
        <v>57</v>
      </c>
      <c r="J29" s="31">
        <v>175.9554</v>
      </c>
      <c r="K29" s="31">
        <f t="shared" si="10"/>
        <v>3.6363636363636362E-2</v>
      </c>
      <c r="L29" s="31">
        <f t="shared" si="11"/>
        <v>6.6396363636363614E-2</v>
      </c>
      <c r="M29" s="26">
        <v>55</v>
      </c>
      <c r="N29" s="13">
        <v>2</v>
      </c>
      <c r="O29" s="83">
        <f t="shared" si="3"/>
        <v>0</v>
      </c>
    </row>
    <row r="30" spans="1:15" ht="14.25" customHeight="1" x14ac:dyDescent="0.4">
      <c r="A30" s="100"/>
      <c r="B30" s="77" t="s">
        <v>72</v>
      </c>
      <c r="C30" s="78">
        <f>SUM(C24:C29)</f>
        <v>455</v>
      </c>
      <c r="D30" s="79" t="s">
        <v>73</v>
      </c>
      <c r="E30" s="79">
        <f>SUM(E24:E29)</f>
        <v>1365</v>
      </c>
      <c r="F30" s="79" t="s">
        <v>73</v>
      </c>
      <c r="G30" s="79" t="s">
        <v>73</v>
      </c>
      <c r="H30" s="79" t="s">
        <v>73</v>
      </c>
      <c r="I30" s="78">
        <f>SUM(I24:I29)</f>
        <v>449</v>
      </c>
      <c r="J30" s="79">
        <f>SUM(J24:J29)</f>
        <v>1395.8214</v>
      </c>
      <c r="K30" s="50"/>
      <c r="L30" s="50"/>
      <c r="M30" s="89">
        <f>SUM(M24:M29)</f>
        <v>446</v>
      </c>
      <c r="N30" s="89">
        <f t="shared" ref="N30:O30" si="12">SUM(N24:N29)</f>
        <v>3</v>
      </c>
      <c r="O30" s="92">
        <f t="shared" si="12"/>
        <v>9</v>
      </c>
    </row>
    <row r="31" spans="1:15" ht="14.25" customHeight="1" x14ac:dyDescent="0.4">
      <c r="A31" s="100" t="s">
        <v>30</v>
      </c>
      <c r="B31" s="76">
        <v>1</v>
      </c>
      <c r="C31" s="30">
        <v>80</v>
      </c>
      <c r="D31" s="31">
        <v>3</v>
      </c>
      <c r="E31" s="31">
        <f>C31*D31</f>
        <v>240</v>
      </c>
      <c r="F31" s="31">
        <v>18</v>
      </c>
      <c r="G31" s="31">
        <v>120</v>
      </c>
      <c r="H31" s="31">
        <v>40</v>
      </c>
      <c r="I31" s="30">
        <v>80</v>
      </c>
      <c r="J31" s="31">
        <v>250.78720000000001</v>
      </c>
      <c r="K31" s="31">
        <f t="shared" ref="K31:K37" si="13">ABS((I31-C31)/C31)</f>
        <v>0</v>
      </c>
      <c r="L31" s="31">
        <f t="shared" ref="L31:L37" si="14">ABS((J31-E31)/E31)</f>
        <v>4.4946666666666718E-2</v>
      </c>
      <c r="M31" s="26">
        <v>80</v>
      </c>
      <c r="N31" s="13">
        <v>0</v>
      </c>
      <c r="O31" s="83">
        <f t="shared" si="3"/>
        <v>0</v>
      </c>
    </row>
    <row r="32" spans="1:15" ht="14.25" customHeight="1" x14ac:dyDescent="0.4">
      <c r="A32" s="100"/>
      <c r="B32">
        <v>2</v>
      </c>
      <c r="C32" s="30">
        <v>80</v>
      </c>
      <c r="D32" s="31">
        <v>3</v>
      </c>
      <c r="E32" s="31">
        <f>C32*D32</f>
        <v>240</v>
      </c>
      <c r="F32" s="31">
        <v>18</v>
      </c>
      <c r="G32" s="31">
        <v>120</v>
      </c>
      <c r="H32" s="31">
        <v>40</v>
      </c>
      <c r="I32" s="30">
        <v>80</v>
      </c>
      <c r="J32" s="31">
        <v>254.51900000000001</v>
      </c>
      <c r="K32" s="31">
        <f t="shared" si="13"/>
        <v>0</v>
      </c>
      <c r="L32" s="31">
        <f t="shared" si="14"/>
        <v>6.0495833333333353E-2</v>
      </c>
      <c r="M32" s="26">
        <v>80</v>
      </c>
      <c r="N32" s="13">
        <v>0</v>
      </c>
      <c r="O32" s="83">
        <f t="shared" si="3"/>
        <v>0</v>
      </c>
    </row>
    <row r="33" spans="1:15" ht="14.25" customHeight="1" x14ac:dyDescent="0.4">
      <c r="A33" s="100"/>
      <c r="B33">
        <v>3</v>
      </c>
      <c r="C33" s="30">
        <v>80</v>
      </c>
      <c r="D33" s="31">
        <v>3</v>
      </c>
      <c r="E33" s="31">
        <f>C33*D33</f>
        <v>240</v>
      </c>
      <c r="F33" s="31">
        <v>18</v>
      </c>
      <c r="G33" s="31">
        <v>120</v>
      </c>
      <c r="H33" s="31">
        <v>40</v>
      </c>
      <c r="I33" s="30">
        <v>77</v>
      </c>
      <c r="J33" s="31">
        <v>245.89750000000001</v>
      </c>
      <c r="K33" s="31">
        <f t="shared" si="13"/>
        <v>3.7499999999999999E-2</v>
      </c>
      <c r="L33" s="31">
        <f t="shared" si="14"/>
        <v>2.4572916666666701E-2</v>
      </c>
      <c r="M33" s="26">
        <v>77</v>
      </c>
      <c r="N33" s="13">
        <v>0</v>
      </c>
      <c r="O33" s="83">
        <f t="shared" si="3"/>
        <v>3</v>
      </c>
    </row>
    <row r="34" spans="1:15" ht="14.25" customHeight="1" x14ac:dyDescent="0.4">
      <c r="A34" s="100"/>
      <c r="B34">
        <v>4</v>
      </c>
      <c r="C34" s="30">
        <v>80</v>
      </c>
      <c r="D34" s="31">
        <v>3</v>
      </c>
      <c r="E34" s="31">
        <f>C34*D34</f>
        <v>240</v>
      </c>
      <c r="F34" s="31">
        <v>18</v>
      </c>
      <c r="G34" s="31">
        <v>120</v>
      </c>
      <c r="H34" s="31">
        <v>40</v>
      </c>
      <c r="I34" s="30">
        <v>81</v>
      </c>
      <c r="J34" s="31">
        <v>261.99759999999998</v>
      </c>
      <c r="K34" s="31">
        <f t="shared" si="13"/>
        <v>1.2500000000000001E-2</v>
      </c>
      <c r="L34" s="31">
        <f t="shared" si="14"/>
        <v>9.1656666666666567E-2</v>
      </c>
      <c r="M34" s="26">
        <v>80</v>
      </c>
      <c r="N34" s="13">
        <v>1</v>
      </c>
      <c r="O34" s="83">
        <f t="shared" si="3"/>
        <v>0</v>
      </c>
    </row>
    <row r="35" spans="1:15" ht="14.25" customHeight="1" x14ac:dyDescent="0.4">
      <c r="A35" s="100"/>
      <c r="B35">
        <v>5</v>
      </c>
      <c r="C35" s="30">
        <v>80</v>
      </c>
      <c r="D35" s="31">
        <v>3</v>
      </c>
      <c r="E35" s="31">
        <f>C35*D35</f>
        <v>240</v>
      </c>
      <c r="F35" s="31">
        <v>18</v>
      </c>
      <c r="G35" s="31">
        <v>120</v>
      </c>
      <c r="H35" s="31">
        <v>40</v>
      </c>
      <c r="I35" s="30">
        <v>80</v>
      </c>
      <c r="J35" s="31">
        <v>261.91829999999999</v>
      </c>
      <c r="K35" s="31">
        <f t="shared" si="13"/>
        <v>0</v>
      </c>
      <c r="L35" s="31">
        <f t="shared" si="14"/>
        <v>9.1326249999999956E-2</v>
      </c>
      <c r="M35" s="26">
        <v>80</v>
      </c>
      <c r="N35" s="13">
        <v>0</v>
      </c>
      <c r="O35" s="83">
        <f t="shared" si="3"/>
        <v>0</v>
      </c>
    </row>
    <row r="36" spans="1:15" ht="14.25" customHeight="1" x14ac:dyDescent="0.4">
      <c r="A36" s="100"/>
      <c r="B36">
        <v>6</v>
      </c>
      <c r="C36" s="30">
        <v>80</v>
      </c>
      <c r="D36" s="31">
        <v>3</v>
      </c>
      <c r="E36" s="31">
        <v>240</v>
      </c>
      <c r="F36" s="31">
        <v>18</v>
      </c>
      <c r="G36" s="31">
        <v>120</v>
      </c>
      <c r="H36" s="31">
        <v>40</v>
      </c>
      <c r="I36" s="30">
        <v>80</v>
      </c>
      <c r="J36" s="31">
        <v>261.58350000000002</v>
      </c>
      <c r="K36" s="31">
        <f t="shared" si="13"/>
        <v>0</v>
      </c>
      <c r="L36" s="31">
        <f t="shared" si="14"/>
        <v>8.993125000000006E-2</v>
      </c>
      <c r="M36" s="26">
        <v>80</v>
      </c>
      <c r="N36" s="13">
        <v>0</v>
      </c>
      <c r="O36" s="83">
        <f t="shared" si="3"/>
        <v>0</v>
      </c>
    </row>
    <row r="37" spans="1:15" ht="14.25" customHeight="1" x14ac:dyDescent="0.4">
      <c r="A37" s="100"/>
      <c r="B37">
        <v>7</v>
      </c>
      <c r="C37" s="30">
        <v>80</v>
      </c>
      <c r="D37" s="31">
        <v>3</v>
      </c>
      <c r="E37" s="31">
        <f>C37*D37</f>
        <v>240</v>
      </c>
      <c r="F37" s="31">
        <v>18</v>
      </c>
      <c r="G37" s="31">
        <v>120</v>
      </c>
      <c r="H37" s="31">
        <v>40</v>
      </c>
      <c r="I37" s="30">
        <v>80</v>
      </c>
      <c r="J37" s="31">
        <v>257.3476</v>
      </c>
      <c r="K37" s="31">
        <f t="shared" si="13"/>
        <v>0</v>
      </c>
      <c r="L37" s="31">
        <f t="shared" si="14"/>
        <v>7.2281666666666661E-2</v>
      </c>
      <c r="M37" s="26">
        <v>80</v>
      </c>
      <c r="N37" s="13">
        <v>0</v>
      </c>
      <c r="O37" s="83">
        <f t="shared" si="3"/>
        <v>0</v>
      </c>
    </row>
    <row r="38" spans="1:15" ht="14.25" customHeight="1" x14ac:dyDescent="0.4">
      <c r="A38" s="100"/>
      <c r="B38" s="77" t="s">
        <v>72</v>
      </c>
      <c r="C38" s="78">
        <f>SUM(C31:C37)</f>
        <v>560</v>
      </c>
      <c r="D38" s="79" t="s">
        <v>73</v>
      </c>
      <c r="E38" s="79">
        <f>SUM(E31:E37)</f>
        <v>1680</v>
      </c>
      <c r="F38" s="79" t="s">
        <v>73</v>
      </c>
      <c r="G38" s="79" t="s">
        <v>73</v>
      </c>
      <c r="H38" s="79" t="s">
        <v>73</v>
      </c>
      <c r="I38" s="78">
        <f>SUM(I31:I37)</f>
        <v>558</v>
      </c>
      <c r="J38" s="79">
        <f>SUM(J31:J37)</f>
        <v>1794.0507</v>
      </c>
      <c r="K38" s="50"/>
      <c r="L38" s="50"/>
      <c r="M38" s="89">
        <f>SUM(M31:M37)</f>
        <v>557</v>
      </c>
      <c r="N38" s="89">
        <f t="shared" ref="N38:O38" si="15">SUM(N31:N37)</f>
        <v>1</v>
      </c>
      <c r="O38" s="92">
        <f t="shared" si="15"/>
        <v>3</v>
      </c>
    </row>
    <row r="39" spans="1:15" ht="14.25" customHeight="1" x14ac:dyDescent="0.4">
      <c r="A39" s="100" t="s">
        <v>25</v>
      </c>
      <c r="B39" s="76">
        <v>1</v>
      </c>
      <c r="C39" s="30">
        <v>80</v>
      </c>
      <c r="D39" s="31">
        <v>3</v>
      </c>
      <c r="E39" s="31">
        <f>C39*D39</f>
        <v>240</v>
      </c>
      <c r="F39" s="31">
        <v>18</v>
      </c>
      <c r="G39" s="31">
        <v>120</v>
      </c>
      <c r="H39" s="31">
        <v>40</v>
      </c>
      <c r="I39" s="30">
        <v>80</v>
      </c>
      <c r="J39" s="31">
        <v>249.3192</v>
      </c>
      <c r="K39" s="31">
        <f>ABS((I39-C39)/C39)</f>
        <v>0</v>
      </c>
      <c r="L39" s="31">
        <f>ABS((J39-E39)/E39)</f>
        <v>3.8829999999999983E-2</v>
      </c>
      <c r="M39" s="26">
        <v>80</v>
      </c>
      <c r="N39" s="13">
        <v>0</v>
      </c>
      <c r="O39" s="83">
        <f t="shared" si="3"/>
        <v>0</v>
      </c>
    </row>
    <row r="40" spans="1:15" ht="14.25" customHeight="1" x14ac:dyDescent="0.4">
      <c r="A40" s="100"/>
      <c r="B40">
        <v>2</v>
      </c>
      <c r="C40" s="30">
        <v>80</v>
      </c>
      <c r="D40" s="31">
        <v>3</v>
      </c>
      <c r="E40" s="31">
        <f>C40*D40</f>
        <v>240</v>
      </c>
      <c r="F40" s="31">
        <v>18</v>
      </c>
      <c r="G40" s="31">
        <v>120</v>
      </c>
      <c r="H40" s="31">
        <v>40</v>
      </c>
      <c r="I40" s="30">
        <v>80</v>
      </c>
      <c r="J40" s="31">
        <v>248.4511</v>
      </c>
      <c r="K40" s="31">
        <f>ABS((I40-C40)/C40)</f>
        <v>0</v>
      </c>
      <c r="L40" s="31">
        <f>ABS((J40-E40)/E40)</f>
        <v>3.5212916666666656E-2</v>
      </c>
      <c r="M40" s="26">
        <v>80</v>
      </c>
      <c r="N40" s="13">
        <v>0</v>
      </c>
      <c r="O40" s="83">
        <f t="shared" si="3"/>
        <v>0</v>
      </c>
    </row>
    <row r="41" spans="1:15" ht="14.25" customHeight="1" x14ac:dyDescent="0.4">
      <c r="A41" s="100"/>
      <c r="B41">
        <v>3</v>
      </c>
      <c r="C41" s="30">
        <v>80</v>
      </c>
      <c r="D41" s="31">
        <v>3</v>
      </c>
      <c r="E41" s="31">
        <f>C41*D41</f>
        <v>240</v>
      </c>
      <c r="F41" s="31">
        <v>18</v>
      </c>
      <c r="G41" s="31">
        <v>120</v>
      </c>
      <c r="H41" s="31">
        <v>40</v>
      </c>
      <c r="I41" s="30">
        <v>80</v>
      </c>
      <c r="J41" s="31">
        <v>249.44</v>
      </c>
      <c r="K41" s="31">
        <f>ABS((I41-C41)/C41)</f>
        <v>0</v>
      </c>
      <c r="L41" s="31">
        <f>ABS((J41-E41)/E41)</f>
        <v>3.9333333333333324E-2</v>
      </c>
      <c r="M41" s="26">
        <v>80</v>
      </c>
      <c r="N41" s="13">
        <v>0</v>
      </c>
      <c r="O41" s="83">
        <f t="shared" si="3"/>
        <v>0</v>
      </c>
    </row>
    <row r="42" spans="1:15" ht="14.25" customHeight="1" x14ac:dyDescent="0.4">
      <c r="A42" s="100"/>
      <c r="B42">
        <v>4</v>
      </c>
      <c r="C42" s="30">
        <v>80</v>
      </c>
      <c r="D42" s="31">
        <v>3</v>
      </c>
      <c r="E42" s="31">
        <f>C42*D42</f>
        <v>240</v>
      </c>
      <c r="F42" s="31">
        <v>18</v>
      </c>
      <c r="G42" s="31">
        <v>120</v>
      </c>
      <c r="H42" s="31">
        <v>40</v>
      </c>
      <c r="I42" s="30">
        <v>80</v>
      </c>
      <c r="J42" s="31">
        <v>250.22730000000001</v>
      </c>
      <c r="K42" s="31">
        <f>ABS((I42-C42)/C42)</f>
        <v>0</v>
      </c>
      <c r="L42" s="31">
        <f>ABS((J42-E42)/E42)</f>
        <v>4.2613750000000054E-2</v>
      </c>
      <c r="M42" s="26">
        <v>80</v>
      </c>
      <c r="N42" s="13">
        <v>0</v>
      </c>
      <c r="O42" s="83">
        <f t="shared" si="3"/>
        <v>0</v>
      </c>
    </row>
    <row r="43" spans="1:15" ht="14.25" customHeight="1" x14ac:dyDescent="0.4">
      <c r="A43" s="100"/>
      <c r="B43">
        <v>5</v>
      </c>
      <c r="C43" s="30">
        <v>80</v>
      </c>
      <c r="D43" s="31">
        <v>3</v>
      </c>
      <c r="E43" s="31">
        <f>C43*D43</f>
        <v>240</v>
      </c>
      <c r="F43" s="31">
        <v>18</v>
      </c>
      <c r="G43" s="31">
        <v>120</v>
      </c>
      <c r="H43" s="31">
        <v>40</v>
      </c>
      <c r="I43" s="30">
        <v>77</v>
      </c>
      <c r="J43" s="31">
        <v>243.59270000000001</v>
      </c>
      <c r="K43" s="31">
        <f>ABS((I43-C43)/C43)</f>
        <v>3.7499999999999999E-2</v>
      </c>
      <c r="L43" s="31">
        <f>ABS((J43-E43)/E43)</f>
        <v>1.4969583333333366E-2</v>
      </c>
      <c r="M43" s="26">
        <v>77</v>
      </c>
      <c r="N43" s="13">
        <v>0</v>
      </c>
      <c r="O43" s="83">
        <f t="shared" si="3"/>
        <v>3</v>
      </c>
    </row>
    <row r="44" spans="1:15" ht="14.25" customHeight="1" x14ac:dyDescent="0.4">
      <c r="A44" s="100"/>
      <c r="B44" s="77" t="s">
        <v>72</v>
      </c>
      <c r="C44" s="78">
        <f>SUM(C39:C43)</f>
        <v>400</v>
      </c>
      <c r="D44" s="79" t="s">
        <v>73</v>
      </c>
      <c r="E44" s="79">
        <f>SUM(E39:E43)</f>
        <v>1200</v>
      </c>
      <c r="F44" s="79" t="s">
        <v>73</v>
      </c>
      <c r="G44" s="79" t="s">
        <v>73</v>
      </c>
      <c r="H44" s="79" t="s">
        <v>73</v>
      </c>
      <c r="I44" s="78">
        <f>SUM(I39:I43)</f>
        <v>397</v>
      </c>
      <c r="J44" s="79">
        <f>SUM(J39:J43)</f>
        <v>1241.0302999999999</v>
      </c>
      <c r="K44" s="50"/>
      <c r="L44" s="50"/>
      <c r="M44" s="89">
        <f>SUM(M39:M43)</f>
        <v>397</v>
      </c>
      <c r="N44" s="89">
        <f t="shared" ref="N44:O44" si="16">SUM(N39:N43)</f>
        <v>0</v>
      </c>
      <c r="O44" s="92">
        <f t="shared" si="16"/>
        <v>3</v>
      </c>
    </row>
    <row r="45" spans="1:15" ht="14.25" customHeight="1" x14ac:dyDescent="0.4">
      <c r="A45" s="100" t="s">
        <v>74</v>
      </c>
      <c r="B45" s="76">
        <v>1</v>
      </c>
      <c r="C45" s="30">
        <v>30</v>
      </c>
      <c r="D45" s="31">
        <v>3</v>
      </c>
      <c r="E45" s="85">
        <v>87.06</v>
      </c>
      <c r="F45" s="31">
        <v>18</v>
      </c>
      <c r="G45" s="31" t="s">
        <v>73</v>
      </c>
      <c r="H45" s="31" t="s">
        <v>73</v>
      </c>
      <c r="I45" s="30">
        <v>30</v>
      </c>
      <c r="J45" s="31">
        <v>85.025599999999997</v>
      </c>
      <c r="K45" s="31"/>
      <c r="L45" s="31"/>
      <c r="M45" s="26">
        <v>30</v>
      </c>
      <c r="N45" s="13">
        <v>0</v>
      </c>
      <c r="O45" s="83">
        <f t="shared" ref="O45" si="17">(C45-M45)</f>
        <v>0</v>
      </c>
    </row>
    <row r="46" spans="1:15" ht="14.25" customHeight="1" x14ac:dyDescent="0.4">
      <c r="A46" s="100"/>
      <c r="B46" s="77" t="s">
        <v>72</v>
      </c>
      <c r="C46" s="78">
        <f>C45</f>
        <v>30</v>
      </c>
      <c r="D46" s="79" t="s">
        <v>73</v>
      </c>
      <c r="E46" s="86">
        <f>E45</f>
        <v>87.06</v>
      </c>
      <c r="F46" s="79" t="s">
        <v>73</v>
      </c>
      <c r="G46" s="79" t="s">
        <v>73</v>
      </c>
      <c r="H46" s="79" t="s">
        <v>73</v>
      </c>
      <c r="I46" s="78">
        <f>I45</f>
        <v>30</v>
      </c>
      <c r="J46" s="79">
        <f>J45</f>
        <v>85.025599999999997</v>
      </c>
      <c r="K46" s="50"/>
      <c r="L46" s="50"/>
      <c r="M46" s="89">
        <f>M45</f>
        <v>30</v>
      </c>
      <c r="N46" s="89">
        <f t="shared" ref="N46" si="18">N45</f>
        <v>0</v>
      </c>
      <c r="O46" s="92">
        <f t="shared" ref="O46" si="19">O45</f>
        <v>0</v>
      </c>
    </row>
    <row r="47" spans="1:15" ht="14.25" customHeight="1" x14ac:dyDescent="0.4">
      <c r="A47" s="100" t="s">
        <v>39</v>
      </c>
      <c r="B47" s="76">
        <v>1</v>
      </c>
      <c r="C47" s="30">
        <v>80</v>
      </c>
      <c r="D47" s="31">
        <v>3</v>
      </c>
      <c r="E47" s="31">
        <f t="shared" ref="E47:E52" si="20">C47*D47</f>
        <v>240</v>
      </c>
      <c r="F47" s="31">
        <v>18</v>
      </c>
      <c r="G47" s="31">
        <v>120</v>
      </c>
      <c r="H47" s="31">
        <v>40</v>
      </c>
      <c r="I47" s="30">
        <v>80</v>
      </c>
      <c r="J47" s="31">
        <v>247.2653</v>
      </c>
      <c r="K47" s="31">
        <f t="shared" ref="K47:K52" si="21">ABS((I47-C47)/C47)</f>
        <v>0</v>
      </c>
      <c r="L47" s="31">
        <f t="shared" ref="L47:L52" si="22">ABS((J47-E47)/E47)</f>
        <v>3.0272083333333318E-2</v>
      </c>
      <c r="M47" s="26">
        <v>80</v>
      </c>
      <c r="N47" s="13">
        <v>0</v>
      </c>
      <c r="O47" s="83">
        <f t="shared" ref="O47:O58" si="23">(C47-M47)</f>
        <v>0</v>
      </c>
    </row>
    <row r="48" spans="1:15" ht="14.25" customHeight="1" x14ac:dyDescent="0.4">
      <c r="A48" s="100"/>
      <c r="B48">
        <v>2</v>
      </c>
      <c r="C48" s="30">
        <v>80</v>
      </c>
      <c r="D48" s="31">
        <v>3</v>
      </c>
      <c r="E48" s="31">
        <f t="shared" si="20"/>
        <v>240</v>
      </c>
      <c r="F48" s="31">
        <v>18</v>
      </c>
      <c r="G48" s="31">
        <v>120</v>
      </c>
      <c r="H48" s="31">
        <v>40</v>
      </c>
      <c r="I48" s="30">
        <v>80</v>
      </c>
      <c r="J48" s="31">
        <v>246.96</v>
      </c>
      <c r="K48" s="31">
        <f t="shared" si="21"/>
        <v>0</v>
      </c>
      <c r="L48" s="31">
        <f t="shared" si="22"/>
        <v>2.9000000000000033E-2</v>
      </c>
      <c r="M48" s="26">
        <v>80</v>
      </c>
      <c r="N48" s="13">
        <v>0</v>
      </c>
      <c r="O48" s="83">
        <f t="shared" si="23"/>
        <v>0</v>
      </c>
    </row>
    <row r="49" spans="1:15" ht="14.25" customHeight="1" x14ac:dyDescent="0.4">
      <c r="A49" s="100"/>
      <c r="B49">
        <v>3</v>
      </c>
      <c r="C49" s="30">
        <v>80</v>
      </c>
      <c r="D49" s="31">
        <v>3</v>
      </c>
      <c r="E49" s="31">
        <f t="shared" si="20"/>
        <v>240</v>
      </c>
      <c r="F49" s="31">
        <v>18</v>
      </c>
      <c r="G49" s="31">
        <v>120</v>
      </c>
      <c r="H49" s="31">
        <v>40</v>
      </c>
      <c r="I49" s="30">
        <v>80</v>
      </c>
      <c r="J49" s="31">
        <v>246.79509999999999</v>
      </c>
      <c r="K49" s="31">
        <f t="shared" si="21"/>
        <v>0</v>
      </c>
      <c r="L49" s="31">
        <f t="shared" si="22"/>
        <v>2.8312916666666629E-2</v>
      </c>
      <c r="M49" s="26">
        <v>80</v>
      </c>
      <c r="N49" s="13">
        <v>0</v>
      </c>
      <c r="O49" s="83">
        <f t="shared" si="23"/>
        <v>0</v>
      </c>
    </row>
    <row r="50" spans="1:15" ht="14.25" customHeight="1" x14ac:dyDescent="0.4">
      <c r="A50" s="100"/>
      <c r="B50">
        <v>4</v>
      </c>
      <c r="C50" s="30">
        <v>80</v>
      </c>
      <c r="D50" s="31">
        <v>3</v>
      </c>
      <c r="E50" s="31">
        <f t="shared" si="20"/>
        <v>240</v>
      </c>
      <c r="F50" s="31">
        <v>18</v>
      </c>
      <c r="G50" s="31">
        <v>120</v>
      </c>
      <c r="H50" s="31">
        <v>40</v>
      </c>
      <c r="I50" s="30">
        <v>80</v>
      </c>
      <c r="J50" s="31">
        <v>247.00360000000001</v>
      </c>
      <c r="K50" s="31">
        <f t="shared" si="21"/>
        <v>0</v>
      </c>
      <c r="L50" s="31">
        <f t="shared" si="22"/>
        <v>2.9181666666666693E-2</v>
      </c>
      <c r="M50" s="26">
        <v>80</v>
      </c>
      <c r="N50" s="13">
        <v>0</v>
      </c>
      <c r="O50" s="83">
        <f t="shared" si="23"/>
        <v>0</v>
      </c>
    </row>
    <row r="51" spans="1:15" ht="14.25" customHeight="1" x14ac:dyDescent="0.4">
      <c r="A51" s="100"/>
      <c r="B51">
        <v>5</v>
      </c>
      <c r="C51" s="30">
        <v>80</v>
      </c>
      <c r="D51" s="31">
        <v>3</v>
      </c>
      <c r="E51" s="31">
        <f t="shared" si="20"/>
        <v>240</v>
      </c>
      <c r="F51" s="31">
        <v>18</v>
      </c>
      <c r="G51" s="31">
        <v>120</v>
      </c>
      <c r="H51" s="31">
        <v>40</v>
      </c>
      <c r="I51" s="30">
        <v>80</v>
      </c>
      <c r="J51" s="31">
        <v>246.25370000000001</v>
      </c>
      <c r="K51" s="31">
        <f t="shared" si="21"/>
        <v>0</v>
      </c>
      <c r="L51" s="31">
        <f t="shared" si="22"/>
        <v>2.6057083333333373E-2</v>
      </c>
      <c r="M51" s="26">
        <v>80</v>
      </c>
      <c r="N51" s="13">
        <v>0</v>
      </c>
      <c r="O51" s="83">
        <f t="shared" si="23"/>
        <v>0</v>
      </c>
    </row>
    <row r="52" spans="1:15" ht="14.25" customHeight="1" x14ac:dyDescent="0.4">
      <c r="A52" s="100"/>
      <c r="B52">
        <v>6</v>
      </c>
      <c r="C52" s="30">
        <v>80</v>
      </c>
      <c r="D52" s="31">
        <v>3</v>
      </c>
      <c r="E52" s="31">
        <f t="shared" si="20"/>
        <v>240</v>
      </c>
      <c r="F52" s="31">
        <v>18</v>
      </c>
      <c r="G52" s="31">
        <v>120</v>
      </c>
      <c r="H52" s="31">
        <v>40</v>
      </c>
      <c r="I52" s="30">
        <v>80</v>
      </c>
      <c r="J52" s="31">
        <v>246.95259999999999</v>
      </c>
      <c r="K52" s="31">
        <f t="shared" si="21"/>
        <v>0</v>
      </c>
      <c r="L52" s="31">
        <f t="shared" si="22"/>
        <v>2.8969166666666622E-2</v>
      </c>
      <c r="M52" s="26">
        <v>80</v>
      </c>
      <c r="N52" s="13">
        <v>0</v>
      </c>
      <c r="O52" s="83">
        <f t="shared" si="23"/>
        <v>0</v>
      </c>
    </row>
    <row r="53" spans="1:15" ht="14.25" customHeight="1" x14ac:dyDescent="0.4">
      <c r="A53" s="100"/>
      <c r="B53" s="77" t="s">
        <v>72</v>
      </c>
      <c r="C53" s="78">
        <f>SUM(C47:C52)</f>
        <v>480</v>
      </c>
      <c r="D53" s="79" t="s">
        <v>73</v>
      </c>
      <c r="E53" s="79">
        <f>SUM(E47:E52)</f>
        <v>1440</v>
      </c>
      <c r="F53" s="79" t="s">
        <v>73</v>
      </c>
      <c r="G53" s="79" t="s">
        <v>73</v>
      </c>
      <c r="H53" s="79" t="s">
        <v>73</v>
      </c>
      <c r="I53" s="78">
        <f>SUM(I47:I52)</f>
        <v>480</v>
      </c>
      <c r="J53" s="79">
        <f>SUM(J47:J52)</f>
        <v>1481.2303000000002</v>
      </c>
      <c r="K53" s="50"/>
      <c r="L53" s="50"/>
      <c r="M53" s="89">
        <f>SUM(M47:M52)</f>
        <v>480</v>
      </c>
      <c r="N53" s="89">
        <f t="shared" ref="N53:O53" si="24">SUM(N47:N52)</f>
        <v>0</v>
      </c>
      <c r="O53" s="92">
        <f t="shared" si="24"/>
        <v>0</v>
      </c>
    </row>
    <row r="54" spans="1:15" ht="14.25" customHeight="1" x14ac:dyDescent="0.4">
      <c r="A54" s="100" t="s">
        <v>36</v>
      </c>
      <c r="B54" s="76">
        <v>1</v>
      </c>
      <c r="C54" s="30">
        <v>80</v>
      </c>
      <c r="D54" s="31">
        <v>3</v>
      </c>
      <c r="E54" s="31">
        <f>C54*D54</f>
        <v>240</v>
      </c>
      <c r="F54" s="31">
        <v>18</v>
      </c>
      <c r="G54" s="31">
        <v>120</v>
      </c>
      <c r="H54" s="31">
        <v>40</v>
      </c>
      <c r="I54" s="30">
        <v>80</v>
      </c>
      <c r="J54" s="31">
        <v>237.07560000000001</v>
      </c>
      <c r="K54" s="31">
        <f>ABS((I54-C54)/C54)</f>
        <v>0</v>
      </c>
      <c r="L54" s="31">
        <f>ABS((J54-E54)/E54)</f>
        <v>1.2184999999999965E-2</v>
      </c>
      <c r="M54" s="26">
        <v>80</v>
      </c>
      <c r="N54" s="13">
        <v>0</v>
      </c>
      <c r="O54" s="83">
        <f t="shared" si="23"/>
        <v>0</v>
      </c>
    </row>
    <row r="55" spans="1:15" ht="14.25" customHeight="1" x14ac:dyDescent="0.4">
      <c r="A55" s="100"/>
      <c r="B55">
        <v>2</v>
      </c>
      <c r="C55" s="30">
        <v>80</v>
      </c>
      <c r="D55" s="31">
        <v>3</v>
      </c>
      <c r="E55" s="31">
        <f>C55*D55</f>
        <v>240</v>
      </c>
      <c r="F55" s="31">
        <v>18</v>
      </c>
      <c r="G55" s="31">
        <v>120</v>
      </c>
      <c r="H55" s="31">
        <v>40</v>
      </c>
      <c r="I55" s="30">
        <v>80</v>
      </c>
      <c r="J55" s="31">
        <v>239.6019</v>
      </c>
      <c r="K55" s="31">
        <f>ABS((I55-C55)/C55)</f>
        <v>0</v>
      </c>
      <c r="L55" s="31">
        <f>ABS((J55-E55)/E55)</f>
        <v>1.6587499999999977E-3</v>
      </c>
      <c r="M55" s="26">
        <v>80</v>
      </c>
      <c r="N55" s="13">
        <v>0</v>
      </c>
      <c r="O55" s="83">
        <f t="shared" si="23"/>
        <v>0</v>
      </c>
    </row>
    <row r="56" spans="1:15" ht="14.25" customHeight="1" x14ac:dyDescent="0.4">
      <c r="A56" s="100"/>
      <c r="B56">
        <v>3</v>
      </c>
      <c r="C56" s="30">
        <v>25</v>
      </c>
      <c r="D56" s="31">
        <v>3</v>
      </c>
      <c r="E56" s="31">
        <f>C56*D56</f>
        <v>75</v>
      </c>
      <c r="F56" s="31">
        <v>18</v>
      </c>
      <c r="G56" s="31">
        <v>120</v>
      </c>
      <c r="H56" s="31">
        <v>40</v>
      </c>
      <c r="I56" s="30">
        <v>25</v>
      </c>
      <c r="J56" s="31">
        <v>74.238900000000001</v>
      </c>
      <c r="K56" s="31">
        <f>ABS((I56-C56)/C56)</f>
        <v>0</v>
      </c>
      <c r="L56" s="31">
        <f>ABS((J56-E56)/E56)</f>
        <v>1.0147999999999987E-2</v>
      </c>
      <c r="M56" s="26">
        <v>25</v>
      </c>
      <c r="N56" s="13">
        <v>0</v>
      </c>
      <c r="O56" s="83">
        <f t="shared" si="23"/>
        <v>0</v>
      </c>
    </row>
    <row r="57" spans="1:15" ht="14.25" customHeight="1" x14ac:dyDescent="0.4">
      <c r="A57" s="100"/>
      <c r="B57" s="77" t="s">
        <v>72</v>
      </c>
      <c r="C57" s="78">
        <f>SUM(C54:C56)</f>
        <v>185</v>
      </c>
      <c r="D57" s="79" t="s">
        <v>73</v>
      </c>
      <c r="E57" s="79">
        <f>SUM(E54:E56)</f>
        <v>555</v>
      </c>
      <c r="F57" s="79" t="s">
        <v>73</v>
      </c>
      <c r="G57" s="79" t="s">
        <v>73</v>
      </c>
      <c r="H57" s="79" t="s">
        <v>73</v>
      </c>
      <c r="I57" s="78">
        <f>SUM(I54:I56)</f>
        <v>185</v>
      </c>
      <c r="J57" s="79">
        <f>SUM(J54:J56)</f>
        <v>550.91640000000007</v>
      </c>
      <c r="K57" s="50"/>
      <c r="L57" s="50"/>
      <c r="M57" s="89">
        <f>SUM(M54:M56)</f>
        <v>185</v>
      </c>
      <c r="N57" s="89">
        <f t="shared" ref="N57:O57" si="25">SUM(N54:N56)</f>
        <v>0</v>
      </c>
      <c r="O57" s="92">
        <f t="shared" si="25"/>
        <v>0</v>
      </c>
    </row>
    <row r="58" spans="1:15" ht="14.25" customHeight="1" x14ac:dyDescent="0.4">
      <c r="A58" s="100" t="s">
        <v>44</v>
      </c>
      <c r="B58" s="76">
        <v>1</v>
      </c>
      <c r="C58" s="30">
        <v>80</v>
      </c>
      <c r="D58" s="31">
        <v>3</v>
      </c>
      <c r="E58" s="31">
        <f>C58*D58</f>
        <v>240</v>
      </c>
      <c r="F58" s="31">
        <v>18</v>
      </c>
      <c r="G58" s="31">
        <v>120</v>
      </c>
      <c r="H58" s="31">
        <v>40</v>
      </c>
      <c r="I58" s="30">
        <v>80</v>
      </c>
      <c r="J58" s="31">
        <v>285.35829999999999</v>
      </c>
      <c r="K58" s="31"/>
      <c r="L58" s="31"/>
      <c r="M58" s="26">
        <v>80</v>
      </c>
      <c r="N58" s="13">
        <v>0</v>
      </c>
      <c r="O58" s="83">
        <f t="shared" si="23"/>
        <v>0</v>
      </c>
    </row>
    <row r="59" spans="1:15" ht="14.25" customHeight="1" x14ac:dyDescent="0.4">
      <c r="A59" s="100"/>
      <c r="B59" s="77" t="s">
        <v>72</v>
      </c>
      <c r="C59" s="78">
        <f>C58</f>
        <v>80</v>
      </c>
      <c r="D59" s="79" t="s">
        <v>73</v>
      </c>
      <c r="E59" s="79">
        <f>E58</f>
        <v>240</v>
      </c>
      <c r="F59" s="79" t="s">
        <v>73</v>
      </c>
      <c r="G59" s="79" t="s">
        <v>73</v>
      </c>
      <c r="H59" s="79" t="s">
        <v>73</v>
      </c>
      <c r="I59" s="78">
        <f>I58</f>
        <v>80</v>
      </c>
      <c r="J59" s="79">
        <f>J58</f>
        <v>285.35829999999999</v>
      </c>
      <c r="K59" s="50"/>
      <c r="L59" s="50"/>
      <c r="M59" s="89">
        <f>M58</f>
        <v>80</v>
      </c>
      <c r="N59" s="89">
        <f t="shared" ref="N59:O59" si="26">N58</f>
        <v>0</v>
      </c>
      <c r="O59" s="92">
        <f t="shared" si="26"/>
        <v>0</v>
      </c>
    </row>
    <row r="60" spans="1:15" ht="14.25" customHeight="1" x14ac:dyDescent="0.4">
      <c r="A60" s="100" t="s">
        <v>75</v>
      </c>
      <c r="B60">
        <v>1</v>
      </c>
      <c r="C60" s="31">
        <v>30</v>
      </c>
      <c r="D60" s="31">
        <v>3</v>
      </c>
      <c r="E60" s="85">
        <v>95</v>
      </c>
      <c r="F60" s="31">
        <v>18</v>
      </c>
      <c r="G60" s="31" t="s">
        <v>73</v>
      </c>
      <c r="H60" s="31" t="s">
        <v>73</v>
      </c>
      <c r="I60" s="30">
        <v>30</v>
      </c>
      <c r="J60" s="31">
        <v>87.324799999999996</v>
      </c>
      <c r="K60" s="31"/>
      <c r="L60" s="31"/>
      <c r="M60" s="26">
        <v>30</v>
      </c>
      <c r="N60" s="13">
        <v>0</v>
      </c>
      <c r="O60" s="83">
        <f t="shared" ref="O60" si="27">(C60-M60)</f>
        <v>0</v>
      </c>
    </row>
    <row r="61" spans="1:15" ht="14.25" customHeight="1" x14ac:dyDescent="0.4">
      <c r="A61" s="100"/>
      <c r="B61" s="77" t="s">
        <v>72</v>
      </c>
      <c r="C61" s="79">
        <f>C60</f>
        <v>30</v>
      </c>
      <c r="D61" s="79" t="s">
        <v>73</v>
      </c>
      <c r="E61" s="86">
        <f>E60</f>
        <v>95</v>
      </c>
      <c r="F61" s="79" t="s">
        <v>73</v>
      </c>
      <c r="G61" s="79" t="s">
        <v>73</v>
      </c>
      <c r="H61" s="79" t="s">
        <v>73</v>
      </c>
      <c r="I61" s="78">
        <f>I60</f>
        <v>30</v>
      </c>
      <c r="J61" s="79">
        <f>J60</f>
        <v>87.324799999999996</v>
      </c>
      <c r="K61" s="50"/>
      <c r="L61" s="50"/>
      <c r="M61" s="89">
        <f>M60</f>
        <v>30</v>
      </c>
      <c r="N61" s="89">
        <f t="shared" ref="N61" si="28">N60</f>
        <v>0</v>
      </c>
      <c r="O61" s="92">
        <f t="shared" ref="O61" si="29">O60</f>
        <v>0</v>
      </c>
    </row>
    <row r="62" spans="1:15" x14ac:dyDescent="0.4">
      <c r="M62" s="10"/>
      <c r="O62" s="80"/>
    </row>
    <row r="63" spans="1:15" x14ac:dyDescent="0.4">
      <c r="M63" s="10"/>
      <c r="O63" s="80"/>
    </row>
    <row r="64" spans="1:15" ht="15" customHeight="1" x14ac:dyDescent="0.4">
      <c r="A64" s="100" t="s">
        <v>20</v>
      </c>
      <c r="B64" s="60">
        <v>1</v>
      </c>
      <c r="C64" s="70">
        <v>40</v>
      </c>
      <c r="D64" s="71">
        <v>3</v>
      </c>
      <c r="E64" s="71">
        <f t="shared" ref="E64:E74" si="30">C64*D64</f>
        <v>120</v>
      </c>
      <c r="F64" s="71">
        <v>18</v>
      </c>
      <c r="G64" s="71">
        <v>120</v>
      </c>
      <c r="H64" s="71">
        <v>40</v>
      </c>
      <c r="I64" s="76">
        <v>40</v>
      </c>
      <c r="J64" s="71">
        <v>130.36670000000001</v>
      </c>
      <c r="K64" s="71">
        <f t="shared" ref="K64:K74" si="31">ABS((I64-C64)/C64)</f>
        <v>0</v>
      </c>
      <c r="L64" s="71">
        <f t="shared" ref="L64:L74" si="32">ABS((J64-E64)/E64)</f>
        <v>8.6389166666666739E-2</v>
      </c>
      <c r="M64" s="90">
        <v>40</v>
      </c>
      <c r="N64" s="1">
        <v>0</v>
      </c>
      <c r="O64" s="83">
        <f t="shared" ref="O64:O127" si="33">(C64-M64)</f>
        <v>0</v>
      </c>
    </row>
    <row r="65" spans="1:15" ht="15" customHeight="1" x14ac:dyDescent="0.4">
      <c r="A65" s="100"/>
      <c r="B65">
        <v>2</v>
      </c>
      <c r="C65" s="30">
        <v>40</v>
      </c>
      <c r="D65" s="31">
        <v>3</v>
      </c>
      <c r="E65" s="31">
        <f t="shared" si="30"/>
        <v>120</v>
      </c>
      <c r="F65" s="31">
        <v>18</v>
      </c>
      <c r="G65" s="31">
        <v>120</v>
      </c>
      <c r="H65" s="31">
        <v>40</v>
      </c>
      <c r="I65">
        <v>40</v>
      </c>
      <c r="J65" s="31">
        <v>130.34180000000001</v>
      </c>
      <c r="K65" s="31">
        <f t="shared" si="31"/>
        <v>0</v>
      </c>
      <c r="L65" s="31">
        <f t="shared" si="32"/>
        <v>8.6181666666666726E-2</v>
      </c>
      <c r="M65" s="91">
        <v>40</v>
      </c>
      <c r="N65" s="1">
        <v>0</v>
      </c>
      <c r="O65" s="83">
        <f t="shared" si="33"/>
        <v>0</v>
      </c>
    </row>
    <row r="66" spans="1:15" ht="15" customHeight="1" x14ac:dyDescent="0.4">
      <c r="A66" s="100"/>
      <c r="B66">
        <v>3</v>
      </c>
      <c r="C66" s="30">
        <v>40</v>
      </c>
      <c r="D66" s="31">
        <v>3</v>
      </c>
      <c r="E66" s="31">
        <f t="shared" si="30"/>
        <v>120</v>
      </c>
      <c r="F66" s="31">
        <v>18</v>
      </c>
      <c r="G66" s="31">
        <v>120</v>
      </c>
      <c r="H66" s="31">
        <v>40</v>
      </c>
      <c r="I66">
        <v>40</v>
      </c>
      <c r="J66" s="31">
        <v>130.648</v>
      </c>
      <c r="K66" s="31">
        <f t="shared" si="31"/>
        <v>0</v>
      </c>
      <c r="L66" s="31">
        <f t="shared" si="32"/>
        <v>8.8733333333333303E-2</v>
      </c>
      <c r="M66" s="91">
        <v>40</v>
      </c>
      <c r="N66" s="1">
        <v>0</v>
      </c>
      <c r="O66" s="83">
        <f t="shared" si="33"/>
        <v>0</v>
      </c>
    </row>
    <row r="67" spans="1:15" ht="15" customHeight="1" x14ac:dyDescent="0.4">
      <c r="A67" s="100"/>
      <c r="B67">
        <v>4</v>
      </c>
      <c r="C67" s="30">
        <v>40</v>
      </c>
      <c r="D67" s="31">
        <v>3</v>
      </c>
      <c r="E67" s="31">
        <f t="shared" si="30"/>
        <v>120</v>
      </c>
      <c r="F67" s="31">
        <v>18</v>
      </c>
      <c r="G67" s="31">
        <v>120</v>
      </c>
      <c r="H67" s="31">
        <v>40</v>
      </c>
      <c r="I67">
        <v>40</v>
      </c>
      <c r="J67" s="31">
        <v>131.5078</v>
      </c>
      <c r="K67" s="31">
        <f t="shared" si="31"/>
        <v>0</v>
      </c>
      <c r="L67" s="31">
        <f t="shared" si="32"/>
        <v>9.5898333333333363E-2</v>
      </c>
      <c r="M67" s="91">
        <v>40</v>
      </c>
      <c r="N67" s="1">
        <v>0</v>
      </c>
      <c r="O67" s="83">
        <f t="shared" si="33"/>
        <v>0</v>
      </c>
    </row>
    <row r="68" spans="1:15" ht="15" customHeight="1" x14ac:dyDescent="0.4">
      <c r="A68" s="100"/>
      <c r="B68">
        <v>5</v>
      </c>
      <c r="C68" s="30">
        <v>40</v>
      </c>
      <c r="D68" s="31">
        <v>3</v>
      </c>
      <c r="E68" s="31">
        <f t="shared" si="30"/>
        <v>120</v>
      </c>
      <c r="F68" s="31">
        <v>18</v>
      </c>
      <c r="G68" s="31">
        <v>120</v>
      </c>
      <c r="H68" s="31">
        <v>40</v>
      </c>
      <c r="I68">
        <v>40</v>
      </c>
      <c r="J68" s="31">
        <v>128.01689999999999</v>
      </c>
      <c r="K68" s="31">
        <f t="shared" si="31"/>
        <v>0</v>
      </c>
      <c r="L68" s="31">
        <f t="shared" si="32"/>
        <v>6.6807499999999936E-2</v>
      </c>
      <c r="M68" s="91">
        <v>40</v>
      </c>
      <c r="N68" s="1">
        <v>0</v>
      </c>
      <c r="O68" s="83">
        <f t="shared" si="33"/>
        <v>0</v>
      </c>
    </row>
    <row r="69" spans="1:15" ht="15" customHeight="1" x14ac:dyDescent="0.4">
      <c r="A69" s="100"/>
      <c r="B69">
        <v>6</v>
      </c>
      <c r="C69" s="30">
        <v>40</v>
      </c>
      <c r="D69" s="31">
        <v>3</v>
      </c>
      <c r="E69" s="31">
        <f t="shared" si="30"/>
        <v>120</v>
      </c>
      <c r="F69" s="31">
        <v>18</v>
      </c>
      <c r="G69" s="31">
        <v>120</v>
      </c>
      <c r="H69" s="31">
        <v>40</v>
      </c>
      <c r="I69">
        <v>40</v>
      </c>
      <c r="J69" s="31">
        <v>130.91309999999999</v>
      </c>
      <c r="K69" s="31">
        <f t="shared" si="31"/>
        <v>0</v>
      </c>
      <c r="L69" s="31">
        <f t="shared" si="32"/>
        <v>9.0942499999999885E-2</v>
      </c>
      <c r="M69" s="91">
        <v>40</v>
      </c>
      <c r="N69" s="1">
        <v>0</v>
      </c>
      <c r="O69" s="83">
        <f t="shared" si="33"/>
        <v>0</v>
      </c>
    </row>
    <row r="70" spans="1:15" ht="15" customHeight="1" x14ac:dyDescent="0.4">
      <c r="A70" s="100"/>
      <c r="B70">
        <v>7</v>
      </c>
      <c r="C70" s="30">
        <v>40</v>
      </c>
      <c r="D70" s="31">
        <v>3</v>
      </c>
      <c r="E70" s="31">
        <f t="shared" si="30"/>
        <v>120</v>
      </c>
      <c r="F70" s="31">
        <v>18</v>
      </c>
      <c r="G70" s="31">
        <v>120</v>
      </c>
      <c r="H70" s="31">
        <v>40</v>
      </c>
      <c r="I70">
        <v>40</v>
      </c>
      <c r="J70" s="31">
        <v>130.87639999999999</v>
      </c>
      <c r="K70" s="31">
        <f t="shared" si="31"/>
        <v>0</v>
      </c>
      <c r="L70" s="31">
        <f t="shared" si="32"/>
        <v>9.0636666666666574E-2</v>
      </c>
      <c r="M70" s="91">
        <v>40</v>
      </c>
      <c r="N70" s="1">
        <v>0</v>
      </c>
      <c r="O70" s="83">
        <f t="shared" si="33"/>
        <v>0</v>
      </c>
    </row>
    <row r="71" spans="1:15" ht="15" customHeight="1" x14ac:dyDescent="0.4">
      <c r="A71" s="100"/>
      <c r="B71">
        <v>8</v>
      </c>
      <c r="C71" s="30">
        <v>40</v>
      </c>
      <c r="D71" s="31">
        <v>3</v>
      </c>
      <c r="E71" s="31">
        <f t="shared" si="30"/>
        <v>120</v>
      </c>
      <c r="F71" s="31">
        <v>18</v>
      </c>
      <c r="G71" s="31">
        <v>120</v>
      </c>
      <c r="H71" s="31">
        <v>40</v>
      </c>
      <c r="I71">
        <v>40</v>
      </c>
      <c r="J71" s="31">
        <v>130.80969999999999</v>
      </c>
      <c r="K71" s="31">
        <f t="shared" si="31"/>
        <v>0</v>
      </c>
      <c r="L71" s="31">
        <f t="shared" si="32"/>
        <v>9.0080833333333263E-2</v>
      </c>
      <c r="M71" s="91">
        <v>40</v>
      </c>
      <c r="N71" s="1">
        <v>0</v>
      </c>
      <c r="O71" s="83">
        <f t="shared" si="33"/>
        <v>0</v>
      </c>
    </row>
    <row r="72" spans="1:15" ht="15" customHeight="1" x14ac:dyDescent="0.4">
      <c r="A72" s="100"/>
      <c r="B72">
        <v>9</v>
      </c>
      <c r="C72" s="30">
        <v>40</v>
      </c>
      <c r="D72" s="31">
        <v>3</v>
      </c>
      <c r="E72" s="31">
        <f t="shared" si="30"/>
        <v>120</v>
      </c>
      <c r="F72" s="31">
        <v>18</v>
      </c>
      <c r="G72" s="31">
        <v>120</v>
      </c>
      <c r="H72" s="31">
        <v>40</v>
      </c>
      <c r="I72">
        <v>40</v>
      </c>
      <c r="J72" s="31">
        <v>131.7166</v>
      </c>
      <c r="K72" s="31">
        <f t="shared" si="31"/>
        <v>0</v>
      </c>
      <c r="L72" s="31">
        <f t="shared" si="32"/>
        <v>9.7638333333333327E-2</v>
      </c>
      <c r="M72" s="91">
        <v>40</v>
      </c>
      <c r="N72" s="1">
        <v>0</v>
      </c>
      <c r="O72" s="83">
        <f t="shared" si="33"/>
        <v>0</v>
      </c>
    </row>
    <row r="73" spans="1:15" ht="15" customHeight="1" x14ac:dyDescent="0.4">
      <c r="A73" s="100"/>
      <c r="B73">
        <v>10</v>
      </c>
      <c r="C73" s="30">
        <v>40</v>
      </c>
      <c r="D73" s="31">
        <v>3</v>
      </c>
      <c r="E73" s="31">
        <f t="shared" si="30"/>
        <v>120</v>
      </c>
      <c r="F73" s="31">
        <v>18</v>
      </c>
      <c r="G73" s="31">
        <v>120</v>
      </c>
      <c r="H73" s="31">
        <v>40</v>
      </c>
      <c r="I73">
        <v>40</v>
      </c>
      <c r="J73" s="31">
        <v>131.24520000000001</v>
      </c>
      <c r="K73" s="31">
        <f t="shared" si="31"/>
        <v>0</v>
      </c>
      <c r="L73" s="31">
        <f t="shared" si="32"/>
        <v>9.3710000000000099E-2</v>
      </c>
      <c r="M73" s="91">
        <v>40</v>
      </c>
      <c r="N73" s="1">
        <v>0</v>
      </c>
      <c r="O73" s="83">
        <f t="shared" si="33"/>
        <v>0</v>
      </c>
    </row>
    <row r="74" spans="1:15" ht="15" customHeight="1" x14ac:dyDescent="0.4">
      <c r="A74" s="100"/>
      <c r="B74">
        <v>11</v>
      </c>
      <c r="C74" s="30">
        <v>40</v>
      </c>
      <c r="D74" s="31">
        <v>3</v>
      </c>
      <c r="E74" s="31">
        <f t="shared" si="30"/>
        <v>120</v>
      </c>
      <c r="F74" s="31">
        <v>18</v>
      </c>
      <c r="G74" s="31">
        <v>120</v>
      </c>
      <c r="H74" s="31">
        <v>40</v>
      </c>
      <c r="I74">
        <v>40</v>
      </c>
      <c r="J74" s="31">
        <v>131.1722</v>
      </c>
      <c r="K74" s="31">
        <f t="shared" si="31"/>
        <v>0</v>
      </c>
      <c r="L74" s="31">
        <f t="shared" si="32"/>
        <v>9.3101666666666694E-2</v>
      </c>
      <c r="M74" s="91">
        <v>40</v>
      </c>
      <c r="N74" s="1">
        <v>0</v>
      </c>
      <c r="O74" s="83">
        <f t="shared" si="33"/>
        <v>0</v>
      </c>
    </row>
    <row r="75" spans="1:15" ht="15" customHeight="1" x14ac:dyDescent="0.4">
      <c r="A75" s="100"/>
      <c r="B75" s="77" t="s">
        <v>72</v>
      </c>
      <c r="C75" s="78">
        <f>SUM(C64:C74)</f>
        <v>440</v>
      </c>
      <c r="D75" s="79" t="s">
        <v>73</v>
      </c>
      <c r="E75" s="79">
        <f>SUM(E64:E74)</f>
        <v>1320</v>
      </c>
      <c r="F75" s="79" t="s">
        <v>73</v>
      </c>
      <c r="G75" s="79" t="s">
        <v>73</v>
      </c>
      <c r="H75" s="79" t="s">
        <v>73</v>
      </c>
      <c r="I75" s="78">
        <f>SUM(I64:I74)</f>
        <v>440</v>
      </c>
      <c r="J75" s="79">
        <f>SUM(J64:J74)</f>
        <v>1437.6143999999999</v>
      </c>
      <c r="K75" s="50"/>
      <c r="L75" s="50"/>
      <c r="M75" s="89">
        <f>SUM(M64:M74)</f>
        <v>440</v>
      </c>
      <c r="N75" s="89">
        <f t="shared" ref="N75:O75" si="34">SUM(N64:N74)</f>
        <v>0</v>
      </c>
      <c r="O75" s="92">
        <f t="shared" si="34"/>
        <v>0</v>
      </c>
    </row>
    <row r="76" spans="1:15" ht="15" customHeight="1" x14ac:dyDescent="0.4">
      <c r="A76" s="100" t="s">
        <v>24</v>
      </c>
      <c r="B76" s="76">
        <v>1</v>
      </c>
      <c r="C76" s="30">
        <v>40</v>
      </c>
      <c r="D76" s="31">
        <v>3</v>
      </c>
      <c r="E76" s="31">
        <f t="shared" ref="E76:E82" si="35">C76*D76</f>
        <v>120</v>
      </c>
      <c r="F76" s="31">
        <v>18</v>
      </c>
      <c r="G76" s="31">
        <v>120</v>
      </c>
      <c r="H76" s="31">
        <v>40</v>
      </c>
      <c r="I76">
        <v>40</v>
      </c>
      <c r="J76" s="31">
        <v>129.47489999999999</v>
      </c>
      <c r="K76" s="31">
        <f t="shared" ref="K76:K82" si="36">ABS((I76-C76)/C76)</f>
        <v>0</v>
      </c>
      <c r="L76" s="31">
        <f t="shared" ref="L76:L82" si="37">ABS((J76-E76)/E76)</f>
        <v>7.8957499999999931E-2</v>
      </c>
      <c r="M76" s="91">
        <v>40</v>
      </c>
      <c r="N76" s="1">
        <v>0</v>
      </c>
      <c r="O76" s="83">
        <f t="shared" si="33"/>
        <v>0</v>
      </c>
    </row>
    <row r="77" spans="1:15" ht="15" customHeight="1" x14ac:dyDescent="0.4">
      <c r="A77" s="100"/>
      <c r="B77">
        <v>2</v>
      </c>
      <c r="C77" s="30">
        <v>80</v>
      </c>
      <c r="D77" s="31">
        <v>3</v>
      </c>
      <c r="E77" s="31">
        <f t="shared" si="35"/>
        <v>240</v>
      </c>
      <c r="F77" s="31">
        <v>18</v>
      </c>
      <c r="G77" s="31">
        <v>120</v>
      </c>
      <c r="H77" s="31">
        <v>40</v>
      </c>
      <c r="I77">
        <v>80</v>
      </c>
      <c r="J77" s="31">
        <v>260.7989</v>
      </c>
      <c r="K77" s="31">
        <f t="shared" si="36"/>
        <v>0</v>
      </c>
      <c r="L77" s="31">
        <f t="shared" si="37"/>
        <v>8.6662083333333348E-2</v>
      </c>
      <c r="M77" s="91">
        <v>80</v>
      </c>
      <c r="N77" s="1">
        <v>0</v>
      </c>
      <c r="O77" s="83">
        <f t="shared" si="33"/>
        <v>0</v>
      </c>
    </row>
    <row r="78" spans="1:15" ht="15" customHeight="1" x14ac:dyDescent="0.4">
      <c r="A78" s="100"/>
      <c r="B78">
        <v>3</v>
      </c>
      <c r="C78" s="30">
        <v>16</v>
      </c>
      <c r="D78" s="31">
        <v>3</v>
      </c>
      <c r="E78" s="31">
        <f t="shared" si="35"/>
        <v>48</v>
      </c>
      <c r="F78" s="31">
        <v>18</v>
      </c>
      <c r="G78" s="31">
        <v>120</v>
      </c>
      <c r="H78" s="31">
        <v>40</v>
      </c>
      <c r="I78">
        <v>12</v>
      </c>
      <c r="J78" s="31">
        <v>38.549599999999998</v>
      </c>
      <c r="K78" s="31">
        <f t="shared" si="36"/>
        <v>0.25</v>
      </c>
      <c r="L78" s="31">
        <f t="shared" si="37"/>
        <v>0.19688333333333338</v>
      </c>
      <c r="M78" s="91">
        <v>12</v>
      </c>
      <c r="N78" s="1">
        <v>0</v>
      </c>
      <c r="O78" s="83">
        <f t="shared" si="33"/>
        <v>4</v>
      </c>
    </row>
    <row r="79" spans="1:15" ht="15" customHeight="1" x14ac:dyDescent="0.4">
      <c r="A79" s="100"/>
      <c r="B79">
        <v>4</v>
      </c>
      <c r="C79" s="30">
        <v>80</v>
      </c>
      <c r="D79" s="31">
        <v>3</v>
      </c>
      <c r="E79" s="31">
        <f t="shared" si="35"/>
        <v>240</v>
      </c>
      <c r="F79" s="31">
        <v>18</v>
      </c>
      <c r="G79" s="31">
        <v>120</v>
      </c>
      <c r="H79" s="31">
        <v>40</v>
      </c>
      <c r="I79">
        <v>80</v>
      </c>
      <c r="J79" s="31">
        <v>263.7534</v>
      </c>
      <c r="K79" s="31">
        <f t="shared" si="36"/>
        <v>0</v>
      </c>
      <c r="L79" s="31">
        <f t="shared" si="37"/>
        <v>9.8972499999999991E-2</v>
      </c>
      <c r="M79" s="91">
        <v>80</v>
      </c>
      <c r="N79" s="1">
        <v>0</v>
      </c>
      <c r="O79" s="83">
        <f t="shared" si="33"/>
        <v>0</v>
      </c>
    </row>
    <row r="80" spans="1:15" ht="15" customHeight="1" x14ac:dyDescent="0.4">
      <c r="A80" s="100"/>
      <c r="B80">
        <v>5</v>
      </c>
      <c r="C80" s="30">
        <v>40</v>
      </c>
      <c r="D80" s="31">
        <v>3</v>
      </c>
      <c r="E80" s="31">
        <f t="shared" si="35"/>
        <v>120</v>
      </c>
      <c r="F80" s="31">
        <v>18</v>
      </c>
      <c r="G80" s="31">
        <v>120</v>
      </c>
      <c r="H80" s="31">
        <v>40</v>
      </c>
      <c r="I80">
        <v>40</v>
      </c>
      <c r="J80" s="31">
        <v>129.3647</v>
      </c>
      <c r="K80" s="31">
        <f t="shared" si="36"/>
        <v>0</v>
      </c>
      <c r="L80" s="31">
        <f t="shared" si="37"/>
        <v>7.8039166666666659E-2</v>
      </c>
      <c r="M80" s="91">
        <v>40</v>
      </c>
      <c r="N80" s="1">
        <v>0</v>
      </c>
      <c r="O80" s="83">
        <f t="shared" si="33"/>
        <v>0</v>
      </c>
    </row>
    <row r="81" spans="1:15" ht="15" customHeight="1" x14ac:dyDescent="0.4">
      <c r="A81" s="100"/>
      <c r="B81">
        <v>6</v>
      </c>
      <c r="C81" s="30">
        <v>37</v>
      </c>
      <c r="D81" s="31">
        <v>3</v>
      </c>
      <c r="E81" s="31">
        <f t="shared" si="35"/>
        <v>111</v>
      </c>
      <c r="F81" s="31">
        <v>18</v>
      </c>
      <c r="G81" s="31">
        <v>120</v>
      </c>
      <c r="H81" s="31">
        <v>40</v>
      </c>
      <c r="I81">
        <v>21</v>
      </c>
      <c r="J81" s="31">
        <v>67.043999999999997</v>
      </c>
      <c r="K81" s="31">
        <f t="shared" si="36"/>
        <v>0.43243243243243246</v>
      </c>
      <c r="L81" s="31">
        <f t="shared" si="37"/>
        <v>0.39600000000000002</v>
      </c>
      <c r="M81" s="91">
        <v>21</v>
      </c>
      <c r="N81" s="1">
        <v>0</v>
      </c>
      <c r="O81" s="83">
        <f t="shared" si="33"/>
        <v>16</v>
      </c>
    </row>
    <row r="82" spans="1:15" ht="15" customHeight="1" x14ac:dyDescent="0.4">
      <c r="A82" s="100"/>
      <c r="B82">
        <v>7</v>
      </c>
      <c r="C82" s="30">
        <v>140</v>
      </c>
      <c r="D82" s="31">
        <v>3</v>
      </c>
      <c r="E82" s="31">
        <f t="shared" si="35"/>
        <v>420</v>
      </c>
      <c r="F82" s="31">
        <v>18</v>
      </c>
      <c r="G82" s="31">
        <v>120</v>
      </c>
      <c r="H82" s="31">
        <v>40</v>
      </c>
      <c r="I82">
        <v>130</v>
      </c>
      <c r="J82" s="31">
        <v>422.6617</v>
      </c>
      <c r="K82" s="31">
        <f t="shared" si="36"/>
        <v>7.1428571428571425E-2</v>
      </c>
      <c r="L82" s="31">
        <f t="shared" si="37"/>
        <v>6.3373809523809433E-3</v>
      </c>
      <c r="M82" s="91">
        <v>130</v>
      </c>
      <c r="N82" s="1">
        <v>0</v>
      </c>
      <c r="O82" s="83">
        <f t="shared" si="33"/>
        <v>10</v>
      </c>
    </row>
    <row r="83" spans="1:15" ht="15" customHeight="1" x14ac:dyDescent="0.4">
      <c r="A83" s="100"/>
      <c r="B83" s="77" t="s">
        <v>72</v>
      </c>
      <c r="C83" s="78">
        <f>SUM(C76:C82)</f>
        <v>433</v>
      </c>
      <c r="D83" s="79" t="s">
        <v>73</v>
      </c>
      <c r="E83" s="79">
        <f>SUM(E76:E82)</f>
        <v>1299</v>
      </c>
      <c r="F83" s="79" t="s">
        <v>73</v>
      </c>
      <c r="G83" s="79" t="s">
        <v>73</v>
      </c>
      <c r="H83" s="79" t="s">
        <v>73</v>
      </c>
      <c r="I83" s="78">
        <f>SUM(I76:I82)</f>
        <v>403</v>
      </c>
      <c r="J83" s="79">
        <f>SUM(J76:J82)</f>
        <v>1311.6471999999999</v>
      </c>
      <c r="K83" s="50"/>
      <c r="L83" s="50"/>
      <c r="M83" s="89">
        <f>SUM(M76:M82)</f>
        <v>403</v>
      </c>
      <c r="N83" s="89">
        <f t="shared" ref="N83:O83" si="38">SUM(N76:N82)</f>
        <v>0</v>
      </c>
      <c r="O83" s="92">
        <f t="shared" si="38"/>
        <v>30</v>
      </c>
    </row>
    <row r="84" spans="1:15" ht="15" customHeight="1" x14ac:dyDescent="0.4">
      <c r="A84" s="100" t="s">
        <v>28</v>
      </c>
      <c r="B84" s="76">
        <v>1</v>
      </c>
      <c r="C84" s="30">
        <v>100</v>
      </c>
      <c r="D84" s="31">
        <v>3</v>
      </c>
      <c r="E84" s="31">
        <f>C84*D84</f>
        <v>300</v>
      </c>
      <c r="F84" s="31">
        <v>18</v>
      </c>
      <c r="G84" s="31">
        <v>120</v>
      </c>
      <c r="H84" s="31">
        <v>40</v>
      </c>
      <c r="I84">
        <v>100</v>
      </c>
      <c r="J84" s="31">
        <v>304.56119999999999</v>
      </c>
      <c r="K84" s="31">
        <f>ABS((I84-C84)/C84)</f>
        <v>0</v>
      </c>
      <c r="L84" s="31">
        <f>ABS((J84-E84)/E84)</f>
        <v>1.520399999999995E-2</v>
      </c>
      <c r="M84" s="91">
        <v>100</v>
      </c>
      <c r="N84" s="1">
        <v>0</v>
      </c>
      <c r="O84" s="83">
        <f t="shared" si="33"/>
        <v>0</v>
      </c>
    </row>
    <row r="85" spans="1:15" ht="15" customHeight="1" x14ac:dyDescent="0.4">
      <c r="A85" s="100"/>
      <c r="B85">
        <v>2</v>
      </c>
      <c r="C85" s="30">
        <v>100</v>
      </c>
      <c r="D85" s="31">
        <v>3</v>
      </c>
      <c r="E85" s="31">
        <f>C85*D85</f>
        <v>300</v>
      </c>
      <c r="F85" s="31">
        <v>18</v>
      </c>
      <c r="G85" s="31">
        <v>120</v>
      </c>
      <c r="H85" s="31">
        <v>40</v>
      </c>
      <c r="I85">
        <v>100</v>
      </c>
      <c r="J85" s="31">
        <v>305.04520000000002</v>
      </c>
      <c r="K85" s="31">
        <f>ABS((I85-C85)/C85)</f>
        <v>0</v>
      </c>
      <c r="L85" s="31">
        <f>ABS((J85-E85)/E85)</f>
        <v>1.681733333333341E-2</v>
      </c>
      <c r="M85" s="91">
        <v>100</v>
      </c>
      <c r="N85" s="1">
        <v>0</v>
      </c>
      <c r="O85" s="83">
        <f t="shared" si="33"/>
        <v>0</v>
      </c>
    </row>
    <row r="86" spans="1:15" ht="15" customHeight="1" x14ac:dyDescent="0.4">
      <c r="A86" s="100"/>
      <c r="B86">
        <v>3</v>
      </c>
      <c r="C86" s="30">
        <v>100</v>
      </c>
      <c r="D86" s="31">
        <v>3</v>
      </c>
      <c r="E86" s="31">
        <f>C86*D86</f>
        <v>300</v>
      </c>
      <c r="F86" s="31">
        <v>18</v>
      </c>
      <c r="G86" s="31">
        <v>120</v>
      </c>
      <c r="H86" s="31">
        <v>40</v>
      </c>
      <c r="I86">
        <v>99</v>
      </c>
      <c r="J86" s="31">
        <v>302.23989999999998</v>
      </c>
      <c r="K86" s="31">
        <f>ABS((I86-C86)/C86)</f>
        <v>0.01</v>
      </c>
      <c r="L86" s="31">
        <f>ABS((J86-E86)/E86)</f>
        <v>7.466333333333258E-3</v>
      </c>
      <c r="M86" s="91">
        <v>99</v>
      </c>
      <c r="N86" s="1">
        <v>0</v>
      </c>
      <c r="O86" s="83">
        <f t="shared" si="33"/>
        <v>1</v>
      </c>
    </row>
    <row r="87" spans="1:15" ht="15" customHeight="1" x14ac:dyDescent="0.4">
      <c r="A87" s="100"/>
      <c r="B87">
        <v>4</v>
      </c>
      <c r="C87" s="30">
        <v>80</v>
      </c>
      <c r="D87" s="31">
        <v>3</v>
      </c>
      <c r="E87" s="31">
        <f>C87*D87</f>
        <v>240</v>
      </c>
      <c r="F87" s="31">
        <v>18</v>
      </c>
      <c r="G87" s="31">
        <v>120</v>
      </c>
      <c r="H87" s="31">
        <v>40</v>
      </c>
      <c r="I87">
        <v>79</v>
      </c>
      <c r="J87" s="31">
        <v>241.03870000000001</v>
      </c>
      <c r="K87" s="31">
        <f>ABS((I87-C87)/C87)</f>
        <v>1.2500000000000001E-2</v>
      </c>
      <c r="L87" s="31">
        <f>ABS((J87-E87)/E87)</f>
        <v>4.3279166666666908E-3</v>
      </c>
      <c r="M87" s="91">
        <v>79</v>
      </c>
      <c r="N87" s="1">
        <v>0</v>
      </c>
      <c r="O87" s="83">
        <f t="shared" si="33"/>
        <v>1</v>
      </c>
    </row>
    <row r="88" spans="1:15" ht="15" customHeight="1" x14ac:dyDescent="0.4">
      <c r="A88" s="100"/>
      <c r="B88">
        <v>5</v>
      </c>
      <c r="C88" s="30">
        <v>70</v>
      </c>
      <c r="D88" s="31">
        <v>3</v>
      </c>
      <c r="E88" s="31">
        <f>C88*D88</f>
        <v>210</v>
      </c>
      <c r="F88" s="31">
        <v>18</v>
      </c>
      <c r="G88" s="31">
        <v>120</v>
      </c>
      <c r="H88" s="31">
        <v>40</v>
      </c>
      <c r="I88">
        <v>68</v>
      </c>
      <c r="J88" s="31">
        <v>205.4145</v>
      </c>
      <c r="K88" s="31">
        <f>ABS((I88-C88)/C88)</f>
        <v>2.8571428571428571E-2</v>
      </c>
      <c r="L88" s="31">
        <f>ABS((J88-E88)/E88)</f>
        <v>2.1835714285714267E-2</v>
      </c>
      <c r="M88" s="91">
        <v>68</v>
      </c>
      <c r="N88" s="1">
        <v>0</v>
      </c>
      <c r="O88" s="83">
        <f t="shared" si="33"/>
        <v>2</v>
      </c>
    </row>
    <row r="89" spans="1:15" ht="15" customHeight="1" x14ac:dyDescent="0.4">
      <c r="A89" s="100"/>
      <c r="B89" s="77" t="s">
        <v>72</v>
      </c>
      <c r="C89" s="78">
        <f>SUM(C84:C88)</f>
        <v>450</v>
      </c>
      <c r="D89" s="79" t="s">
        <v>73</v>
      </c>
      <c r="E89" s="79">
        <f>SUM(E84:E88)</f>
        <v>1350</v>
      </c>
      <c r="F89" s="79" t="s">
        <v>73</v>
      </c>
      <c r="G89" s="79" t="s">
        <v>73</v>
      </c>
      <c r="H89" s="79" t="s">
        <v>73</v>
      </c>
      <c r="I89" s="78">
        <f>SUM(I84:I88)</f>
        <v>446</v>
      </c>
      <c r="J89" s="79">
        <f>SUM(J84:J88)</f>
        <v>1358.2995000000001</v>
      </c>
      <c r="K89" s="50"/>
      <c r="L89" s="50"/>
      <c r="M89" s="89">
        <f>SUM(M84:M88)</f>
        <v>446</v>
      </c>
      <c r="N89" s="89">
        <f t="shared" ref="N89:O89" si="39">SUM(N84:N88)</f>
        <v>0</v>
      </c>
      <c r="O89" s="89">
        <f t="shared" si="39"/>
        <v>4</v>
      </c>
    </row>
    <row r="90" spans="1:15" ht="15" customHeight="1" x14ac:dyDescent="0.4">
      <c r="A90" s="100" t="s">
        <v>31</v>
      </c>
      <c r="B90" s="76">
        <v>1</v>
      </c>
      <c r="C90" s="30">
        <v>130</v>
      </c>
      <c r="D90" s="31">
        <v>3</v>
      </c>
      <c r="E90" s="31">
        <f>C90*D90</f>
        <v>390</v>
      </c>
      <c r="F90" s="31">
        <v>18</v>
      </c>
      <c r="G90" s="31">
        <v>120</v>
      </c>
      <c r="H90" s="31">
        <v>40</v>
      </c>
      <c r="I90">
        <v>129</v>
      </c>
      <c r="J90" s="31">
        <v>416.14510000000001</v>
      </c>
      <c r="K90" s="31">
        <f>ABS((I90-C90)/C90)</f>
        <v>7.6923076923076927E-3</v>
      </c>
      <c r="L90" s="31">
        <f>ABS((J90-E90)/E90)</f>
        <v>6.7038717948717977E-2</v>
      </c>
      <c r="M90" s="91">
        <v>129</v>
      </c>
      <c r="N90" s="1">
        <v>0</v>
      </c>
      <c r="O90" s="83">
        <f t="shared" si="33"/>
        <v>1</v>
      </c>
    </row>
    <row r="91" spans="1:15" ht="15" customHeight="1" x14ac:dyDescent="0.4">
      <c r="A91" s="100"/>
      <c r="B91">
        <v>2</v>
      </c>
      <c r="C91" s="30">
        <v>100</v>
      </c>
      <c r="D91" s="31">
        <v>3</v>
      </c>
      <c r="E91" s="31">
        <f>C91*D91</f>
        <v>300</v>
      </c>
      <c r="F91" s="31">
        <v>18</v>
      </c>
      <c r="G91" s="31">
        <v>120</v>
      </c>
      <c r="H91" s="31">
        <v>40</v>
      </c>
      <c r="I91">
        <v>93</v>
      </c>
      <c r="J91" s="31">
        <v>300.3535</v>
      </c>
      <c r="K91" s="31">
        <f>ABS((I91-C91)/C91)</f>
        <v>7.0000000000000007E-2</v>
      </c>
      <c r="L91" s="31">
        <f>ABS((J91-E91)/E91)</f>
        <v>1.1783333333333227E-3</v>
      </c>
      <c r="M91" s="91">
        <v>93</v>
      </c>
      <c r="N91" s="1">
        <v>0</v>
      </c>
      <c r="O91" s="83">
        <f t="shared" si="33"/>
        <v>7</v>
      </c>
    </row>
    <row r="92" spans="1:15" ht="15" customHeight="1" x14ac:dyDescent="0.4">
      <c r="A92" s="100"/>
      <c r="B92">
        <v>3</v>
      </c>
      <c r="C92" s="30">
        <v>30</v>
      </c>
      <c r="D92" s="31">
        <v>3</v>
      </c>
      <c r="E92" s="31">
        <f>C92*D92</f>
        <v>90</v>
      </c>
      <c r="F92" s="31">
        <v>18</v>
      </c>
      <c r="G92" s="31">
        <v>120</v>
      </c>
      <c r="H92" s="31">
        <v>40</v>
      </c>
      <c r="I92">
        <v>30</v>
      </c>
      <c r="J92" s="31">
        <v>96.490399999999994</v>
      </c>
      <c r="K92" s="31">
        <f>ABS((I92-C92)/C92)</f>
        <v>0</v>
      </c>
      <c r="L92" s="31">
        <f>ABS((J92-E92)/E92)</f>
        <v>7.2115555555555488E-2</v>
      </c>
      <c r="M92" s="91">
        <v>30</v>
      </c>
      <c r="N92" s="1">
        <v>0</v>
      </c>
      <c r="O92" s="83">
        <f t="shared" si="33"/>
        <v>0</v>
      </c>
    </row>
    <row r="93" spans="1:15" ht="15" customHeight="1" x14ac:dyDescent="0.4">
      <c r="A93" s="100"/>
      <c r="B93">
        <v>4</v>
      </c>
      <c r="C93" s="30">
        <v>140</v>
      </c>
      <c r="D93" s="31">
        <v>3</v>
      </c>
      <c r="E93" s="31">
        <f>C93*D93</f>
        <v>420</v>
      </c>
      <c r="F93" s="31">
        <v>18</v>
      </c>
      <c r="G93" s="31">
        <v>120</v>
      </c>
      <c r="H93" s="31">
        <v>40</v>
      </c>
      <c r="I93">
        <v>136</v>
      </c>
      <c r="J93" s="31">
        <v>437.80520000000001</v>
      </c>
      <c r="K93" s="31">
        <f>ABS((I93-C93)/C93)</f>
        <v>2.8571428571428571E-2</v>
      </c>
      <c r="L93" s="31">
        <f>ABS((J93-E93)/E93)</f>
        <v>4.2393333333333366E-2</v>
      </c>
      <c r="M93" s="91">
        <v>136</v>
      </c>
      <c r="N93" s="1">
        <v>0</v>
      </c>
      <c r="O93" s="83">
        <f t="shared" si="33"/>
        <v>4</v>
      </c>
    </row>
    <row r="94" spans="1:15" ht="15" customHeight="1" x14ac:dyDescent="0.4">
      <c r="A94" s="100"/>
      <c r="B94">
        <v>5</v>
      </c>
      <c r="C94" s="30">
        <v>130</v>
      </c>
      <c r="D94" s="31">
        <v>3</v>
      </c>
      <c r="E94" s="31">
        <f>C94*D94</f>
        <v>390</v>
      </c>
      <c r="F94" s="31">
        <v>18</v>
      </c>
      <c r="G94" s="31">
        <v>120</v>
      </c>
      <c r="H94" s="31">
        <v>40</v>
      </c>
      <c r="I94">
        <v>102</v>
      </c>
      <c r="J94" s="31">
        <v>331.69470000000001</v>
      </c>
      <c r="K94" s="31">
        <f>ABS((I94-C94)/C94)</f>
        <v>0.2153846153846154</v>
      </c>
      <c r="L94" s="31">
        <f>ABS((J94-E94)/E94)</f>
        <v>0.14950076923076919</v>
      </c>
      <c r="M94" s="91">
        <v>102</v>
      </c>
      <c r="N94" s="1">
        <v>0</v>
      </c>
      <c r="O94" s="83">
        <f t="shared" si="33"/>
        <v>28</v>
      </c>
    </row>
    <row r="95" spans="1:15" ht="15" customHeight="1" x14ac:dyDescent="0.4">
      <c r="A95" s="100"/>
      <c r="B95" s="77" t="s">
        <v>72</v>
      </c>
      <c r="C95" s="78">
        <f>SUM(C90:C94)</f>
        <v>530</v>
      </c>
      <c r="D95" s="79" t="s">
        <v>73</v>
      </c>
      <c r="E95" s="79">
        <f>SUM(E90:E94)</f>
        <v>1590</v>
      </c>
      <c r="F95" s="79" t="s">
        <v>73</v>
      </c>
      <c r="G95" s="79" t="s">
        <v>73</v>
      </c>
      <c r="H95" s="79" t="s">
        <v>73</v>
      </c>
      <c r="I95" s="78">
        <f>SUM(I90:I94)</f>
        <v>490</v>
      </c>
      <c r="J95" s="79">
        <f>SUM(J90:J94)</f>
        <v>1582.4889000000001</v>
      </c>
      <c r="K95" s="50"/>
      <c r="L95" s="50"/>
      <c r="M95" s="89">
        <f>SUM(M90:M94)</f>
        <v>490</v>
      </c>
      <c r="N95" s="89">
        <f t="shared" ref="N95:O95" si="40">SUM(N90:N94)</f>
        <v>0</v>
      </c>
      <c r="O95" s="92">
        <f t="shared" si="40"/>
        <v>40</v>
      </c>
    </row>
    <row r="96" spans="1:15" ht="15" customHeight="1" x14ac:dyDescent="0.4">
      <c r="A96" s="100" t="s">
        <v>33</v>
      </c>
      <c r="B96" s="76">
        <v>1</v>
      </c>
      <c r="C96" s="30">
        <v>80</v>
      </c>
      <c r="D96" s="31">
        <v>3</v>
      </c>
      <c r="E96" s="31">
        <f t="shared" ref="E96:E103" si="41">C96*D96</f>
        <v>240</v>
      </c>
      <c r="F96" s="31">
        <v>18</v>
      </c>
      <c r="G96" s="31">
        <v>120</v>
      </c>
      <c r="H96" s="31">
        <v>40</v>
      </c>
      <c r="I96">
        <v>80</v>
      </c>
      <c r="J96" s="31">
        <v>248.98079999999999</v>
      </c>
      <c r="K96" s="31">
        <f t="shared" ref="K96:K103" si="42">ABS((I96-C96)/C96)</f>
        <v>0</v>
      </c>
      <c r="L96" s="31">
        <f t="shared" ref="L96:L103" si="43">ABS((J96-E96)/E96)</f>
        <v>3.7419999999999946E-2</v>
      </c>
      <c r="M96" s="91">
        <v>80</v>
      </c>
      <c r="N96" s="1">
        <v>0</v>
      </c>
      <c r="O96" s="83">
        <f t="shared" si="33"/>
        <v>0</v>
      </c>
    </row>
    <row r="97" spans="1:15" ht="15" customHeight="1" x14ac:dyDescent="0.4">
      <c r="A97" s="100"/>
      <c r="B97">
        <v>2</v>
      </c>
      <c r="C97" s="30">
        <v>80</v>
      </c>
      <c r="D97" s="31">
        <v>3</v>
      </c>
      <c r="E97" s="31">
        <f t="shared" si="41"/>
        <v>240</v>
      </c>
      <c r="F97" s="31">
        <v>18</v>
      </c>
      <c r="G97" s="31">
        <v>120</v>
      </c>
      <c r="H97" s="31">
        <v>40</v>
      </c>
      <c r="I97">
        <v>80</v>
      </c>
      <c r="J97" s="31">
        <v>217.4221</v>
      </c>
      <c r="K97" s="31">
        <f t="shared" si="42"/>
        <v>0</v>
      </c>
      <c r="L97" s="31">
        <f t="shared" si="43"/>
        <v>9.4074583333333336E-2</v>
      </c>
      <c r="M97" s="91">
        <v>80</v>
      </c>
      <c r="N97" s="1">
        <v>0</v>
      </c>
      <c r="O97" s="83">
        <f t="shared" si="33"/>
        <v>0</v>
      </c>
    </row>
    <row r="98" spans="1:15" ht="15" customHeight="1" x14ac:dyDescent="0.4">
      <c r="A98" s="100"/>
      <c r="B98">
        <v>3</v>
      </c>
      <c r="C98" s="30">
        <v>80</v>
      </c>
      <c r="D98" s="31">
        <v>3</v>
      </c>
      <c r="E98" s="31">
        <f t="shared" si="41"/>
        <v>240</v>
      </c>
      <c r="F98" s="31">
        <v>18</v>
      </c>
      <c r="G98" s="31">
        <v>120</v>
      </c>
      <c r="H98" s="31">
        <v>40</v>
      </c>
      <c r="I98">
        <v>67</v>
      </c>
      <c r="J98" s="31">
        <v>192.0866</v>
      </c>
      <c r="K98" s="31">
        <f t="shared" si="42"/>
        <v>0.16250000000000001</v>
      </c>
      <c r="L98" s="31">
        <f t="shared" si="43"/>
        <v>0.19963916666666665</v>
      </c>
      <c r="M98" s="91">
        <v>67</v>
      </c>
      <c r="N98" s="1">
        <v>0</v>
      </c>
      <c r="O98" s="83">
        <f t="shared" si="33"/>
        <v>13</v>
      </c>
    </row>
    <row r="99" spans="1:15" ht="15" customHeight="1" x14ac:dyDescent="0.4">
      <c r="A99" s="100"/>
      <c r="B99">
        <v>4</v>
      </c>
      <c r="C99" s="30">
        <v>80</v>
      </c>
      <c r="D99" s="31">
        <v>3</v>
      </c>
      <c r="E99" s="31">
        <f t="shared" si="41"/>
        <v>240</v>
      </c>
      <c r="F99" s="31">
        <v>18</v>
      </c>
      <c r="G99" s="31">
        <v>120</v>
      </c>
      <c r="H99" s="31">
        <v>40</v>
      </c>
      <c r="I99">
        <v>72</v>
      </c>
      <c r="J99" s="31">
        <v>204.18219999999999</v>
      </c>
      <c r="K99" s="31">
        <f t="shared" si="42"/>
        <v>0.1</v>
      </c>
      <c r="L99" s="31">
        <f t="shared" si="43"/>
        <v>0.14924083333333335</v>
      </c>
      <c r="M99" s="91">
        <v>72</v>
      </c>
      <c r="N99" s="1">
        <v>0</v>
      </c>
      <c r="O99" s="83">
        <f t="shared" si="33"/>
        <v>8</v>
      </c>
    </row>
    <row r="100" spans="1:15" ht="15" customHeight="1" x14ac:dyDescent="0.4">
      <c r="A100" s="100"/>
      <c r="B100">
        <v>6</v>
      </c>
      <c r="C100" s="30">
        <v>16</v>
      </c>
      <c r="D100" s="31">
        <v>3</v>
      </c>
      <c r="E100" s="31">
        <f t="shared" si="41"/>
        <v>48</v>
      </c>
      <c r="F100" s="31">
        <v>18</v>
      </c>
      <c r="G100" s="31">
        <v>120</v>
      </c>
      <c r="H100" s="31">
        <v>40</v>
      </c>
      <c r="I100">
        <v>16</v>
      </c>
      <c r="J100" s="31">
        <v>40.595700000000001</v>
      </c>
      <c r="K100" s="31">
        <f t="shared" si="42"/>
        <v>0</v>
      </c>
      <c r="L100" s="31">
        <f t="shared" si="43"/>
        <v>0.15425624999999998</v>
      </c>
      <c r="M100" s="91">
        <v>16</v>
      </c>
      <c r="N100" s="1">
        <v>0</v>
      </c>
      <c r="O100" s="83">
        <f t="shared" si="33"/>
        <v>0</v>
      </c>
    </row>
    <row r="101" spans="1:15" ht="15" customHeight="1" x14ac:dyDescent="0.4">
      <c r="A101" s="100"/>
      <c r="B101">
        <v>7</v>
      </c>
      <c r="C101" s="30">
        <v>70</v>
      </c>
      <c r="D101" s="31">
        <v>3</v>
      </c>
      <c r="E101" s="31">
        <f t="shared" si="41"/>
        <v>210</v>
      </c>
      <c r="F101" s="31">
        <v>18</v>
      </c>
      <c r="G101" s="31">
        <v>120</v>
      </c>
      <c r="H101" s="31">
        <v>40</v>
      </c>
      <c r="I101">
        <v>64</v>
      </c>
      <c r="J101" s="31">
        <v>193.9469</v>
      </c>
      <c r="K101" s="31">
        <f t="shared" si="42"/>
        <v>8.5714285714285715E-2</v>
      </c>
      <c r="L101" s="31">
        <f t="shared" si="43"/>
        <v>7.6443333333333335E-2</v>
      </c>
      <c r="M101" s="91">
        <v>64</v>
      </c>
      <c r="N101" s="1">
        <v>0</v>
      </c>
      <c r="O101" s="83">
        <f t="shared" si="33"/>
        <v>6</v>
      </c>
    </row>
    <row r="102" spans="1:15" ht="15" customHeight="1" x14ac:dyDescent="0.4">
      <c r="A102" s="100"/>
      <c r="B102">
        <v>8</v>
      </c>
      <c r="C102" s="30">
        <v>80</v>
      </c>
      <c r="D102" s="31">
        <v>3</v>
      </c>
      <c r="E102" s="31">
        <f t="shared" si="41"/>
        <v>240</v>
      </c>
      <c r="F102" s="31">
        <v>18</v>
      </c>
      <c r="G102" s="31">
        <v>120</v>
      </c>
      <c r="H102" s="31">
        <v>40</v>
      </c>
      <c r="I102">
        <v>81</v>
      </c>
      <c r="J102" s="31">
        <v>244.87020000000001</v>
      </c>
      <c r="K102" s="31">
        <f t="shared" si="42"/>
        <v>1.2500000000000001E-2</v>
      </c>
      <c r="L102" s="31">
        <f t="shared" si="43"/>
        <v>2.0292500000000047E-2</v>
      </c>
      <c r="M102" s="91">
        <v>80</v>
      </c>
      <c r="N102" s="1">
        <v>1</v>
      </c>
      <c r="O102" s="83">
        <f t="shared" si="33"/>
        <v>0</v>
      </c>
    </row>
    <row r="103" spans="1:15" ht="15" customHeight="1" x14ac:dyDescent="0.4">
      <c r="A103" s="100"/>
      <c r="B103">
        <v>9</v>
      </c>
      <c r="C103" s="30">
        <v>50</v>
      </c>
      <c r="D103" s="31">
        <v>3</v>
      </c>
      <c r="E103" s="31">
        <f t="shared" si="41"/>
        <v>150</v>
      </c>
      <c r="F103" s="31">
        <v>18</v>
      </c>
      <c r="G103" s="31">
        <v>120</v>
      </c>
      <c r="H103" s="31">
        <v>40</v>
      </c>
      <c r="I103">
        <v>45</v>
      </c>
      <c r="J103" s="31">
        <v>108.8794</v>
      </c>
      <c r="K103" s="31">
        <f t="shared" si="42"/>
        <v>0.1</v>
      </c>
      <c r="L103" s="31">
        <f t="shared" si="43"/>
        <v>0.27413733333333329</v>
      </c>
      <c r="M103" s="91">
        <v>45</v>
      </c>
      <c r="N103" s="1">
        <v>0</v>
      </c>
      <c r="O103" s="83">
        <f t="shared" si="33"/>
        <v>5</v>
      </c>
    </row>
    <row r="104" spans="1:15" ht="15" customHeight="1" x14ac:dyDescent="0.4">
      <c r="A104" s="100"/>
      <c r="B104" s="77" t="s">
        <v>72</v>
      </c>
      <c r="C104" s="78">
        <f>SUM(C96:C103)</f>
        <v>536</v>
      </c>
      <c r="D104" s="79" t="s">
        <v>73</v>
      </c>
      <c r="E104" s="79">
        <f>SUM(E96:E103)</f>
        <v>1608</v>
      </c>
      <c r="F104" s="79" t="s">
        <v>73</v>
      </c>
      <c r="G104" s="79" t="s">
        <v>73</v>
      </c>
      <c r="H104" s="79" t="s">
        <v>73</v>
      </c>
      <c r="I104" s="78">
        <f>SUM(I96:I103)</f>
        <v>505</v>
      </c>
      <c r="J104" s="79">
        <f>SUM(J96:J103)</f>
        <v>1450.9639</v>
      </c>
      <c r="K104" s="50"/>
      <c r="L104" s="50"/>
      <c r="M104" s="89">
        <f>SUM(M96:M103)</f>
        <v>504</v>
      </c>
      <c r="N104" s="89">
        <f t="shared" ref="N104:O104" si="44">SUM(N96:N103)</f>
        <v>1</v>
      </c>
      <c r="O104" s="92">
        <f t="shared" si="44"/>
        <v>32</v>
      </c>
    </row>
    <row r="105" spans="1:15" ht="15" customHeight="1" x14ac:dyDescent="0.4">
      <c r="A105" s="100" t="s">
        <v>34</v>
      </c>
      <c r="B105" s="76">
        <v>1</v>
      </c>
      <c r="C105" s="30">
        <v>80</v>
      </c>
      <c r="D105" s="31">
        <v>3</v>
      </c>
      <c r="E105" s="31">
        <f>C105*D105</f>
        <v>240</v>
      </c>
      <c r="F105" s="31">
        <v>18</v>
      </c>
      <c r="G105" s="31">
        <v>120</v>
      </c>
      <c r="H105" s="31">
        <v>40</v>
      </c>
      <c r="I105">
        <v>80</v>
      </c>
      <c r="J105" s="31">
        <v>267.61669999999998</v>
      </c>
      <c r="K105" s="31">
        <f>ABS((I105-C105)/C105)</f>
        <v>0</v>
      </c>
      <c r="L105" s="31">
        <f>ABS((J105-E105)/E105)</f>
        <v>0.11506958333333325</v>
      </c>
      <c r="M105" s="91">
        <v>80</v>
      </c>
      <c r="N105" s="1">
        <v>0</v>
      </c>
      <c r="O105" s="83">
        <f t="shared" si="33"/>
        <v>0</v>
      </c>
    </row>
    <row r="106" spans="1:15" ht="15" customHeight="1" x14ac:dyDescent="0.4">
      <c r="A106" s="100"/>
      <c r="B106">
        <v>2</v>
      </c>
      <c r="C106" s="30">
        <v>80</v>
      </c>
      <c r="D106" s="31">
        <v>3</v>
      </c>
      <c r="E106" s="31">
        <f>C106*D106</f>
        <v>240</v>
      </c>
      <c r="F106" s="31">
        <v>18</v>
      </c>
      <c r="G106" s="31">
        <v>120</v>
      </c>
      <c r="H106" s="31">
        <v>40</v>
      </c>
      <c r="I106">
        <v>80</v>
      </c>
      <c r="J106" s="31">
        <v>265.78339999999997</v>
      </c>
      <c r="K106" s="31">
        <f>ABS((I106-C106)/C106)</f>
        <v>0</v>
      </c>
      <c r="L106" s="31">
        <f>ABS((J106-E106)/E106)</f>
        <v>0.10743083333333321</v>
      </c>
      <c r="M106" s="91">
        <v>80</v>
      </c>
      <c r="N106" s="1">
        <v>0</v>
      </c>
      <c r="O106" s="83">
        <f t="shared" si="33"/>
        <v>0</v>
      </c>
    </row>
    <row r="107" spans="1:15" ht="15" customHeight="1" x14ac:dyDescent="0.4">
      <c r="A107" s="100"/>
      <c r="B107">
        <v>3</v>
      </c>
      <c r="C107" s="30">
        <v>80</v>
      </c>
      <c r="D107" s="31">
        <v>3</v>
      </c>
      <c r="E107" s="31">
        <f>C107*D107</f>
        <v>240</v>
      </c>
      <c r="F107" s="31">
        <v>18</v>
      </c>
      <c r="G107" s="31">
        <v>120</v>
      </c>
      <c r="H107" s="31">
        <v>40</v>
      </c>
      <c r="I107">
        <v>76</v>
      </c>
      <c r="J107" s="31">
        <v>228.9134</v>
      </c>
      <c r="K107" s="31">
        <f>ABS((I107-C107)/C107)</f>
        <v>0.05</v>
      </c>
      <c r="L107" s="31">
        <f>ABS((J107-E107)/E107)</f>
        <v>4.6194166666666682E-2</v>
      </c>
      <c r="M107" s="91">
        <v>76</v>
      </c>
      <c r="N107" s="1">
        <v>0</v>
      </c>
      <c r="O107" s="83">
        <f t="shared" si="33"/>
        <v>4</v>
      </c>
    </row>
    <row r="108" spans="1:15" ht="15" customHeight="1" x14ac:dyDescent="0.4">
      <c r="A108" s="100"/>
      <c r="B108" s="77" t="s">
        <v>72</v>
      </c>
      <c r="C108" s="78">
        <f>SUM(C105:C107)</f>
        <v>240</v>
      </c>
      <c r="D108" s="79" t="s">
        <v>73</v>
      </c>
      <c r="E108" s="79">
        <f>SUM(E105:E107)</f>
        <v>720</v>
      </c>
      <c r="F108" s="79" t="s">
        <v>73</v>
      </c>
      <c r="G108" s="79" t="s">
        <v>73</v>
      </c>
      <c r="H108" s="79" t="s">
        <v>73</v>
      </c>
      <c r="I108" s="78">
        <f>SUM(I105:I107)</f>
        <v>236</v>
      </c>
      <c r="J108" s="79">
        <f>SUM(J105:J107)</f>
        <v>762.31349999999998</v>
      </c>
      <c r="K108" s="50"/>
      <c r="L108" s="50"/>
      <c r="M108" s="89">
        <f>SUM(M105:M107)</f>
        <v>236</v>
      </c>
      <c r="N108" s="89">
        <f t="shared" ref="N108:O108" si="45">SUM(N105:N107)</f>
        <v>0</v>
      </c>
      <c r="O108" s="92">
        <f t="shared" si="45"/>
        <v>4</v>
      </c>
    </row>
    <row r="109" spans="1:15" ht="15" customHeight="1" x14ac:dyDescent="0.4">
      <c r="A109" s="100" t="s">
        <v>35</v>
      </c>
      <c r="B109" s="76">
        <v>1</v>
      </c>
      <c r="C109" s="30">
        <v>80</v>
      </c>
      <c r="D109" s="31">
        <v>3</v>
      </c>
      <c r="E109" s="31">
        <f>C109*D109</f>
        <v>240</v>
      </c>
      <c r="F109" s="31">
        <v>18</v>
      </c>
      <c r="G109" s="31">
        <v>120</v>
      </c>
      <c r="H109" s="31">
        <v>40</v>
      </c>
      <c r="I109">
        <v>81</v>
      </c>
      <c r="J109" s="31">
        <v>249.64779999999999</v>
      </c>
      <c r="K109" s="31">
        <f>ABS((I109-C109)/C109)</f>
        <v>1.2500000000000001E-2</v>
      </c>
      <c r="L109" s="31">
        <f>ABS((J109-E109)/E109)</f>
        <v>4.0199166666666626E-2</v>
      </c>
      <c r="M109" s="91">
        <v>80</v>
      </c>
      <c r="N109" s="1">
        <v>1</v>
      </c>
      <c r="O109" s="83">
        <f t="shared" si="33"/>
        <v>0</v>
      </c>
    </row>
    <row r="110" spans="1:15" ht="15" customHeight="1" x14ac:dyDescent="0.4">
      <c r="A110" s="100"/>
      <c r="B110">
        <v>2</v>
      </c>
      <c r="C110" s="30">
        <v>80</v>
      </c>
      <c r="D110" s="31">
        <v>3</v>
      </c>
      <c r="E110" s="31">
        <f>C110*D110</f>
        <v>240</v>
      </c>
      <c r="F110" s="31">
        <v>18</v>
      </c>
      <c r="G110" s="31">
        <v>120</v>
      </c>
      <c r="H110" s="31">
        <v>40</v>
      </c>
      <c r="I110">
        <v>80</v>
      </c>
      <c r="J110" s="31">
        <v>244.93209999999999</v>
      </c>
      <c r="K110" s="31">
        <f>ABS((I110-C110)/C110)</f>
        <v>0</v>
      </c>
      <c r="L110" s="31">
        <f>ABS((J110-E110)/E110)</f>
        <v>2.055041666666663E-2</v>
      </c>
      <c r="M110" s="91">
        <v>80</v>
      </c>
      <c r="N110" s="1">
        <v>0</v>
      </c>
      <c r="O110" s="83">
        <f t="shared" si="33"/>
        <v>0</v>
      </c>
    </row>
    <row r="111" spans="1:15" ht="15" customHeight="1" x14ac:dyDescent="0.4">
      <c r="A111" s="100"/>
      <c r="B111">
        <v>3</v>
      </c>
      <c r="C111" s="30">
        <v>40</v>
      </c>
      <c r="D111" s="31">
        <v>3</v>
      </c>
      <c r="E111" s="31">
        <f>C111*D111</f>
        <v>120</v>
      </c>
      <c r="F111" s="31">
        <v>18</v>
      </c>
      <c r="G111" s="31">
        <v>120</v>
      </c>
      <c r="H111" s="31">
        <v>40</v>
      </c>
      <c r="I111">
        <v>39</v>
      </c>
      <c r="J111" s="31">
        <v>120.0784</v>
      </c>
      <c r="K111" s="31">
        <f>ABS((I111-C111)/C111)</f>
        <v>2.5000000000000001E-2</v>
      </c>
      <c r="L111" s="31">
        <f>ABS((J111-E111)/E111)</f>
        <v>6.5333333333335015E-4</v>
      </c>
      <c r="M111" s="91">
        <v>39</v>
      </c>
      <c r="N111" s="1">
        <v>0</v>
      </c>
      <c r="O111" s="83">
        <f t="shared" si="33"/>
        <v>1</v>
      </c>
    </row>
    <row r="112" spans="1:15" ht="15" customHeight="1" x14ac:dyDescent="0.4">
      <c r="A112" s="100"/>
      <c r="B112">
        <v>4</v>
      </c>
      <c r="C112" s="30">
        <v>40</v>
      </c>
      <c r="D112" s="31">
        <v>3</v>
      </c>
      <c r="E112" s="31">
        <f>C112*D112</f>
        <v>120</v>
      </c>
      <c r="F112" s="31">
        <v>18</v>
      </c>
      <c r="G112" s="31">
        <v>120</v>
      </c>
      <c r="H112" s="31">
        <v>40</v>
      </c>
      <c r="I112">
        <v>38</v>
      </c>
      <c r="J112" s="31">
        <v>128.04490000000001</v>
      </c>
      <c r="K112" s="31">
        <f>ABS((I112-C112)/C112)</f>
        <v>0.05</v>
      </c>
      <c r="L112" s="31">
        <f>ABS((J112-E112)/E112)</f>
        <v>6.7040833333333438E-2</v>
      </c>
      <c r="M112" s="91">
        <v>38</v>
      </c>
      <c r="N112" s="1">
        <v>0</v>
      </c>
      <c r="O112" s="83">
        <f t="shared" si="33"/>
        <v>2</v>
      </c>
    </row>
    <row r="113" spans="1:15" ht="15" customHeight="1" x14ac:dyDescent="0.4">
      <c r="A113" s="100"/>
      <c r="B113">
        <v>5</v>
      </c>
      <c r="C113" s="30">
        <v>35</v>
      </c>
      <c r="D113" s="31">
        <v>3</v>
      </c>
      <c r="E113" s="31">
        <f>C113*D113</f>
        <v>105</v>
      </c>
      <c r="F113" s="31">
        <v>18</v>
      </c>
      <c r="G113" s="31">
        <v>120</v>
      </c>
      <c r="H113" s="31">
        <v>40</v>
      </c>
      <c r="I113">
        <v>33</v>
      </c>
      <c r="J113" s="31">
        <v>112.6533</v>
      </c>
      <c r="K113" s="31">
        <f>ABS((I113-C113)/C113)</f>
        <v>5.7142857142857141E-2</v>
      </c>
      <c r="L113" s="31">
        <f>ABS((J113-E113)/E113)</f>
        <v>7.2888571428571441E-2</v>
      </c>
      <c r="M113" s="91">
        <v>33</v>
      </c>
      <c r="N113" s="1">
        <v>0</v>
      </c>
      <c r="O113" s="83">
        <f t="shared" si="33"/>
        <v>2</v>
      </c>
    </row>
    <row r="114" spans="1:15" ht="15" customHeight="1" x14ac:dyDescent="0.4">
      <c r="A114" s="100"/>
      <c r="B114" s="77" t="s">
        <v>72</v>
      </c>
      <c r="C114" s="78">
        <f>SUM(C109:C113)</f>
        <v>275</v>
      </c>
      <c r="D114" s="79" t="s">
        <v>73</v>
      </c>
      <c r="E114" s="79">
        <f>SUM(E109:E113)</f>
        <v>825</v>
      </c>
      <c r="F114" s="79" t="s">
        <v>73</v>
      </c>
      <c r="G114" s="79" t="s">
        <v>73</v>
      </c>
      <c r="H114" s="79" t="s">
        <v>73</v>
      </c>
      <c r="I114" s="78">
        <f>SUM(I109:I113)</f>
        <v>271</v>
      </c>
      <c r="J114" s="79">
        <f>SUM(J109:J113)</f>
        <v>855.35649999999987</v>
      </c>
      <c r="K114" s="50"/>
      <c r="L114" s="50"/>
      <c r="M114" s="89">
        <f>SUM(M109:M113)</f>
        <v>270</v>
      </c>
      <c r="N114" s="89">
        <f t="shared" ref="N114:O114" si="46">SUM(N109:N113)</f>
        <v>1</v>
      </c>
      <c r="O114" s="92">
        <f t="shared" si="46"/>
        <v>5</v>
      </c>
    </row>
    <row r="115" spans="1:15" ht="15" customHeight="1" x14ac:dyDescent="0.4">
      <c r="A115" s="100" t="s">
        <v>38</v>
      </c>
      <c r="B115" s="76">
        <v>1</v>
      </c>
      <c r="C115" s="30">
        <v>40</v>
      </c>
      <c r="D115" s="31">
        <v>3</v>
      </c>
      <c r="E115" s="31">
        <f t="shared" ref="E115:E123" si="47">C115*D115</f>
        <v>120</v>
      </c>
      <c r="F115" s="31">
        <v>18</v>
      </c>
      <c r="G115" s="31">
        <v>120</v>
      </c>
      <c r="H115" s="31">
        <v>40</v>
      </c>
      <c r="I115">
        <v>36</v>
      </c>
      <c r="J115" s="31">
        <v>108.9191</v>
      </c>
      <c r="K115" s="31">
        <f t="shared" ref="K115:K123" si="48">ABS((I115-C115)/C115)</f>
        <v>0.1</v>
      </c>
      <c r="L115" s="31">
        <f t="shared" ref="L115:L123" si="49">ABS((J115-E115)/E115)</f>
        <v>9.234083333333333E-2</v>
      </c>
      <c r="M115" s="91">
        <v>36</v>
      </c>
      <c r="N115" s="1">
        <v>0</v>
      </c>
      <c r="O115" s="83">
        <f t="shared" si="33"/>
        <v>4</v>
      </c>
    </row>
    <row r="116" spans="1:15" ht="15" customHeight="1" x14ac:dyDescent="0.4">
      <c r="A116" s="100"/>
      <c r="B116">
        <v>2</v>
      </c>
      <c r="C116" s="30">
        <v>40</v>
      </c>
      <c r="D116" s="31">
        <v>3</v>
      </c>
      <c r="E116" s="31">
        <f t="shared" si="47"/>
        <v>120</v>
      </c>
      <c r="F116" s="31">
        <v>18</v>
      </c>
      <c r="G116" s="31">
        <v>120</v>
      </c>
      <c r="H116" s="31">
        <v>40</v>
      </c>
      <c r="I116">
        <v>40</v>
      </c>
      <c r="J116" s="31">
        <v>104.4049</v>
      </c>
      <c r="K116" s="31">
        <f t="shared" si="48"/>
        <v>0</v>
      </c>
      <c r="L116" s="31">
        <f t="shared" si="49"/>
        <v>0.12995916666666668</v>
      </c>
      <c r="M116" s="91">
        <v>40</v>
      </c>
      <c r="N116" s="1">
        <v>0</v>
      </c>
      <c r="O116" s="83">
        <f t="shared" si="33"/>
        <v>0</v>
      </c>
    </row>
    <row r="117" spans="1:15" ht="15" customHeight="1" x14ac:dyDescent="0.4">
      <c r="A117" s="100"/>
      <c r="B117">
        <v>3</v>
      </c>
      <c r="C117" s="30">
        <v>40</v>
      </c>
      <c r="D117" s="31">
        <v>3</v>
      </c>
      <c r="E117" s="31">
        <f t="shared" si="47"/>
        <v>120</v>
      </c>
      <c r="F117" s="31">
        <v>18</v>
      </c>
      <c r="G117" s="31">
        <v>120</v>
      </c>
      <c r="H117" s="31">
        <v>40</v>
      </c>
      <c r="I117">
        <v>40</v>
      </c>
      <c r="J117" s="31">
        <v>120.85299999999999</v>
      </c>
      <c r="K117" s="31">
        <f t="shared" si="48"/>
        <v>0</v>
      </c>
      <c r="L117" s="31">
        <f t="shared" si="49"/>
        <v>7.1083333333332869E-3</v>
      </c>
      <c r="M117" s="91">
        <v>40</v>
      </c>
      <c r="N117" s="1">
        <v>0</v>
      </c>
      <c r="O117" s="83">
        <f t="shared" si="33"/>
        <v>0</v>
      </c>
    </row>
    <row r="118" spans="1:15" ht="15" customHeight="1" x14ac:dyDescent="0.4">
      <c r="A118" s="100"/>
      <c r="B118">
        <v>4</v>
      </c>
      <c r="C118" s="30">
        <v>40</v>
      </c>
      <c r="D118" s="31">
        <v>3</v>
      </c>
      <c r="E118" s="31">
        <f t="shared" si="47"/>
        <v>120</v>
      </c>
      <c r="F118" s="31">
        <v>18</v>
      </c>
      <c r="G118" s="31">
        <v>120</v>
      </c>
      <c r="H118" s="31">
        <v>40</v>
      </c>
      <c r="I118">
        <v>40</v>
      </c>
      <c r="J118" s="31">
        <v>120.84950000000001</v>
      </c>
      <c r="K118" s="31">
        <f t="shared" si="48"/>
        <v>0</v>
      </c>
      <c r="L118" s="31">
        <f t="shared" si="49"/>
        <v>7.0791666666667179E-3</v>
      </c>
      <c r="M118" s="91">
        <v>40</v>
      </c>
      <c r="N118" s="1">
        <v>0</v>
      </c>
      <c r="O118" s="83">
        <f t="shared" si="33"/>
        <v>0</v>
      </c>
    </row>
    <row r="119" spans="1:15" ht="15" customHeight="1" x14ac:dyDescent="0.4">
      <c r="A119" s="100"/>
      <c r="B119">
        <v>5</v>
      </c>
      <c r="C119" s="30">
        <v>40</v>
      </c>
      <c r="D119" s="31">
        <v>3</v>
      </c>
      <c r="E119" s="31">
        <f t="shared" si="47"/>
        <v>120</v>
      </c>
      <c r="F119" s="31">
        <v>18</v>
      </c>
      <c r="G119" s="31">
        <v>120</v>
      </c>
      <c r="H119" s="31">
        <v>40</v>
      </c>
      <c r="I119">
        <v>40</v>
      </c>
      <c r="J119" s="31">
        <v>120.6962</v>
      </c>
      <c r="K119" s="31">
        <f t="shared" si="48"/>
        <v>0</v>
      </c>
      <c r="L119" s="31">
        <f t="shared" si="49"/>
        <v>5.8016666666667049E-3</v>
      </c>
      <c r="M119" s="91">
        <v>40</v>
      </c>
      <c r="N119" s="1">
        <v>0</v>
      </c>
      <c r="O119" s="83">
        <f t="shared" si="33"/>
        <v>0</v>
      </c>
    </row>
    <row r="120" spans="1:15" ht="15" customHeight="1" x14ac:dyDescent="0.4">
      <c r="A120" s="100"/>
      <c r="B120">
        <v>6</v>
      </c>
      <c r="C120" s="30">
        <v>40</v>
      </c>
      <c r="D120" s="31">
        <v>3</v>
      </c>
      <c r="E120" s="31">
        <f t="shared" si="47"/>
        <v>120</v>
      </c>
      <c r="F120" s="31">
        <v>18</v>
      </c>
      <c r="G120" s="31">
        <v>120</v>
      </c>
      <c r="H120" s="31">
        <v>40</v>
      </c>
      <c r="I120">
        <v>40</v>
      </c>
      <c r="J120" s="31">
        <v>121.2251</v>
      </c>
      <c r="K120" s="31">
        <f t="shared" si="48"/>
        <v>0</v>
      </c>
      <c r="L120" s="31">
        <f t="shared" si="49"/>
        <v>1.0209166666666648E-2</v>
      </c>
      <c r="M120" s="91">
        <v>40</v>
      </c>
      <c r="N120" s="1">
        <v>0</v>
      </c>
      <c r="O120" s="83">
        <f t="shared" si="33"/>
        <v>0</v>
      </c>
    </row>
    <row r="121" spans="1:15" ht="15" customHeight="1" x14ac:dyDescent="0.4">
      <c r="A121" s="100"/>
      <c r="B121">
        <v>7</v>
      </c>
      <c r="C121" s="30">
        <v>40</v>
      </c>
      <c r="D121" s="31">
        <v>3</v>
      </c>
      <c r="E121" s="31">
        <f t="shared" si="47"/>
        <v>120</v>
      </c>
      <c r="F121" s="31">
        <v>18</v>
      </c>
      <c r="G121" s="31">
        <v>120</v>
      </c>
      <c r="H121" s="31">
        <v>40</v>
      </c>
      <c r="I121">
        <v>40</v>
      </c>
      <c r="J121" s="31">
        <v>120.5273</v>
      </c>
      <c r="K121" s="31">
        <f t="shared" si="48"/>
        <v>0</v>
      </c>
      <c r="L121" s="31">
        <f t="shared" si="49"/>
        <v>4.39416666666664E-3</v>
      </c>
      <c r="M121" s="91">
        <v>40</v>
      </c>
      <c r="N121" s="1">
        <v>0</v>
      </c>
      <c r="O121" s="83">
        <f t="shared" si="33"/>
        <v>0</v>
      </c>
    </row>
    <row r="122" spans="1:15" ht="15" customHeight="1" x14ac:dyDescent="0.4">
      <c r="A122" s="100"/>
      <c r="B122">
        <v>8</v>
      </c>
      <c r="C122" s="30">
        <v>40</v>
      </c>
      <c r="D122" s="31">
        <v>3</v>
      </c>
      <c r="E122" s="31">
        <f t="shared" si="47"/>
        <v>120</v>
      </c>
      <c r="F122" s="31">
        <v>18</v>
      </c>
      <c r="G122" s="31">
        <v>120</v>
      </c>
      <c r="H122" s="31">
        <v>40</v>
      </c>
      <c r="I122">
        <v>40</v>
      </c>
      <c r="J122" s="31">
        <v>121.51900000000001</v>
      </c>
      <c r="K122" s="31">
        <f t="shared" si="48"/>
        <v>0</v>
      </c>
      <c r="L122" s="31">
        <f t="shared" si="49"/>
        <v>1.2658333333333379E-2</v>
      </c>
      <c r="M122" s="91">
        <v>40</v>
      </c>
      <c r="N122" s="1">
        <v>0</v>
      </c>
      <c r="O122" s="83">
        <f t="shared" si="33"/>
        <v>0</v>
      </c>
    </row>
    <row r="123" spans="1:15" ht="15" customHeight="1" x14ac:dyDescent="0.4">
      <c r="A123" s="100"/>
      <c r="B123">
        <v>9</v>
      </c>
      <c r="C123" s="30">
        <v>40</v>
      </c>
      <c r="D123" s="31">
        <v>3</v>
      </c>
      <c r="E123" s="31">
        <f t="shared" si="47"/>
        <v>120</v>
      </c>
      <c r="F123" s="31">
        <v>18</v>
      </c>
      <c r="G123" s="31">
        <v>120</v>
      </c>
      <c r="H123" s="31">
        <v>40</v>
      </c>
      <c r="I123">
        <v>41</v>
      </c>
      <c r="J123" s="31">
        <v>123.34350000000001</v>
      </c>
      <c r="K123" s="31">
        <f t="shared" si="48"/>
        <v>2.5000000000000001E-2</v>
      </c>
      <c r="L123" s="31">
        <f t="shared" si="49"/>
        <v>2.786250000000005E-2</v>
      </c>
      <c r="M123" s="91">
        <v>40</v>
      </c>
      <c r="N123" s="1">
        <v>1</v>
      </c>
      <c r="O123" s="83">
        <f t="shared" si="33"/>
        <v>0</v>
      </c>
    </row>
    <row r="124" spans="1:15" ht="15" customHeight="1" x14ac:dyDescent="0.4">
      <c r="A124" s="100"/>
      <c r="B124" s="77" t="s">
        <v>72</v>
      </c>
      <c r="C124" s="78">
        <f>SUM(C115:C123)</f>
        <v>360</v>
      </c>
      <c r="D124" s="79" t="s">
        <v>73</v>
      </c>
      <c r="E124" s="79">
        <f>SUM(E115:E123)</f>
        <v>1080</v>
      </c>
      <c r="F124" s="79" t="s">
        <v>73</v>
      </c>
      <c r="G124" s="79" t="s">
        <v>73</v>
      </c>
      <c r="H124" s="79" t="s">
        <v>73</v>
      </c>
      <c r="I124" s="78">
        <f>SUM(I115:I123)</f>
        <v>357</v>
      </c>
      <c r="J124" s="79">
        <f>SUM(J115:J123)</f>
        <v>1062.3376000000001</v>
      </c>
      <c r="K124" s="50"/>
      <c r="L124" s="50"/>
      <c r="M124" s="89">
        <f>SUM(M115:M123)</f>
        <v>356</v>
      </c>
      <c r="N124" s="89">
        <f t="shared" ref="N124:O124" si="50">SUM(N115:N123)</f>
        <v>1</v>
      </c>
      <c r="O124" s="92">
        <f t="shared" si="50"/>
        <v>4</v>
      </c>
    </row>
    <row r="125" spans="1:15" ht="15" customHeight="1" x14ac:dyDescent="0.4">
      <c r="A125" s="100" t="s">
        <v>42</v>
      </c>
      <c r="B125" s="76">
        <v>1</v>
      </c>
      <c r="C125" s="30">
        <v>39</v>
      </c>
      <c r="D125" s="31">
        <v>3</v>
      </c>
      <c r="E125" s="31">
        <f t="shared" ref="E125:E135" si="51">C125*D125</f>
        <v>117</v>
      </c>
      <c r="F125" s="31">
        <v>18</v>
      </c>
      <c r="G125" s="31">
        <v>120</v>
      </c>
      <c r="H125" s="31">
        <v>40</v>
      </c>
      <c r="I125">
        <v>30</v>
      </c>
      <c r="J125" s="31">
        <v>96.442499999999995</v>
      </c>
      <c r="K125" s="31">
        <f t="shared" ref="K125:K135" si="52">ABS((I125-C125)/C125)</f>
        <v>0.23076923076923078</v>
      </c>
      <c r="L125" s="31">
        <f t="shared" ref="L125:L135" si="53">ABS((J125-E125)/E125)</f>
        <v>0.17570512820512824</v>
      </c>
      <c r="M125" s="91">
        <v>30</v>
      </c>
      <c r="N125" s="1">
        <v>0</v>
      </c>
      <c r="O125" s="83">
        <f t="shared" si="33"/>
        <v>9</v>
      </c>
    </row>
    <row r="126" spans="1:15" ht="15" customHeight="1" x14ac:dyDescent="0.4">
      <c r="A126" s="100"/>
      <c r="B126">
        <v>2</v>
      </c>
      <c r="C126" s="30">
        <v>40</v>
      </c>
      <c r="D126" s="31">
        <v>3</v>
      </c>
      <c r="E126" s="31">
        <f t="shared" si="51"/>
        <v>120</v>
      </c>
      <c r="F126" s="31">
        <v>18</v>
      </c>
      <c r="G126" s="31">
        <v>120</v>
      </c>
      <c r="H126" s="31">
        <v>40</v>
      </c>
      <c r="I126">
        <v>14</v>
      </c>
      <c r="J126" s="31">
        <v>29.441700000000001</v>
      </c>
      <c r="K126" s="31">
        <f t="shared" si="52"/>
        <v>0.65</v>
      </c>
      <c r="L126" s="31">
        <f t="shared" si="53"/>
        <v>0.75465250000000006</v>
      </c>
      <c r="M126" s="91">
        <v>14</v>
      </c>
      <c r="N126" s="1">
        <v>0</v>
      </c>
      <c r="O126" s="83">
        <f t="shared" si="33"/>
        <v>26</v>
      </c>
    </row>
    <row r="127" spans="1:15" ht="15" customHeight="1" x14ac:dyDescent="0.4">
      <c r="A127" s="100"/>
      <c r="B127">
        <v>3</v>
      </c>
      <c r="C127" s="30">
        <v>40</v>
      </c>
      <c r="D127" s="31">
        <v>3</v>
      </c>
      <c r="E127" s="31">
        <f t="shared" si="51"/>
        <v>120</v>
      </c>
      <c r="F127" s="31">
        <v>18</v>
      </c>
      <c r="G127" s="31">
        <v>120</v>
      </c>
      <c r="H127" s="31">
        <v>40</v>
      </c>
      <c r="I127">
        <v>41</v>
      </c>
      <c r="J127" s="31">
        <v>124.46510000000001</v>
      </c>
      <c r="K127" s="31">
        <f t="shared" si="52"/>
        <v>2.5000000000000001E-2</v>
      </c>
      <c r="L127" s="31">
        <f t="shared" si="53"/>
        <v>3.7209166666666724E-2</v>
      </c>
      <c r="M127" s="91">
        <v>40</v>
      </c>
      <c r="N127" s="1">
        <v>1</v>
      </c>
      <c r="O127" s="83">
        <f t="shared" si="33"/>
        <v>0</v>
      </c>
    </row>
    <row r="128" spans="1:15" ht="15" customHeight="1" x14ac:dyDescent="0.4">
      <c r="A128" s="100"/>
      <c r="B128">
        <v>4</v>
      </c>
      <c r="C128" s="30">
        <v>40</v>
      </c>
      <c r="D128" s="31">
        <v>3</v>
      </c>
      <c r="E128" s="31">
        <f t="shared" si="51"/>
        <v>120</v>
      </c>
      <c r="F128" s="31">
        <v>18</v>
      </c>
      <c r="G128" s="31">
        <v>120</v>
      </c>
      <c r="H128" s="31">
        <v>40</v>
      </c>
      <c r="I128">
        <v>36</v>
      </c>
      <c r="J128" s="31">
        <v>113.2754</v>
      </c>
      <c r="K128" s="31">
        <f t="shared" si="52"/>
        <v>0.1</v>
      </c>
      <c r="L128" s="31">
        <f t="shared" si="53"/>
        <v>5.6038333333333294E-2</v>
      </c>
      <c r="M128" s="91">
        <v>36</v>
      </c>
      <c r="N128" s="1">
        <v>0</v>
      </c>
      <c r="O128" s="83">
        <f t="shared" ref="O128:O191" si="54">(C128-M128)</f>
        <v>4</v>
      </c>
    </row>
    <row r="129" spans="1:15" ht="15" customHeight="1" x14ac:dyDescent="0.4">
      <c r="A129" s="100"/>
      <c r="B129">
        <v>5</v>
      </c>
      <c r="C129" s="30">
        <v>40</v>
      </c>
      <c r="D129" s="31">
        <v>3</v>
      </c>
      <c r="E129" s="31">
        <f t="shared" si="51"/>
        <v>120</v>
      </c>
      <c r="F129" s="31">
        <v>18</v>
      </c>
      <c r="G129" s="31">
        <v>120</v>
      </c>
      <c r="H129" s="31">
        <v>40</v>
      </c>
      <c r="I129">
        <v>41</v>
      </c>
      <c r="J129" s="31">
        <v>132.7363</v>
      </c>
      <c r="K129" s="31">
        <f t="shared" si="52"/>
        <v>2.5000000000000001E-2</v>
      </c>
      <c r="L129" s="31">
        <f t="shared" si="53"/>
        <v>0.10613583333333333</v>
      </c>
      <c r="M129" s="91">
        <v>40</v>
      </c>
      <c r="N129" s="1">
        <v>1</v>
      </c>
      <c r="O129" s="83">
        <f t="shared" si="54"/>
        <v>0</v>
      </c>
    </row>
    <row r="130" spans="1:15" ht="15" customHeight="1" x14ac:dyDescent="0.4">
      <c r="A130" s="100"/>
      <c r="B130">
        <v>6</v>
      </c>
      <c r="C130" s="30">
        <v>160</v>
      </c>
      <c r="D130" s="31">
        <v>3</v>
      </c>
      <c r="E130" s="31">
        <f t="shared" si="51"/>
        <v>480</v>
      </c>
      <c r="F130" s="31">
        <v>18</v>
      </c>
      <c r="G130" s="31">
        <v>120</v>
      </c>
      <c r="H130" s="31">
        <v>40</v>
      </c>
      <c r="I130">
        <v>159</v>
      </c>
      <c r="J130" s="31">
        <v>512.86450000000002</v>
      </c>
      <c r="K130" s="31">
        <f t="shared" si="52"/>
        <v>6.2500000000000003E-3</v>
      </c>
      <c r="L130" s="31">
        <f t="shared" si="53"/>
        <v>6.8467708333333377E-2</v>
      </c>
      <c r="M130" s="91">
        <v>159</v>
      </c>
      <c r="N130" s="1">
        <v>0</v>
      </c>
      <c r="O130" s="83">
        <f t="shared" si="54"/>
        <v>1</v>
      </c>
    </row>
    <row r="131" spans="1:15" ht="15" customHeight="1" x14ac:dyDescent="0.4">
      <c r="A131" s="100"/>
      <c r="B131">
        <v>7</v>
      </c>
      <c r="C131" s="30">
        <v>40</v>
      </c>
      <c r="D131" s="31">
        <v>3</v>
      </c>
      <c r="E131" s="31">
        <f t="shared" si="51"/>
        <v>120</v>
      </c>
      <c r="F131" s="31">
        <v>18</v>
      </c>
      <c r="G131" s="31">
        <v>120</v>
      </c>
      <c r="H131" s="31">
        <v>40</v>
      </c>
      <c r="I131">
        <v>34</v>
      </c>
      <c r="J131" s="31">
        <v>99.735100000000003</v>
      </c>
      <c r="K131" s="31">
        <f t="shared" si="52"/>
        <v>0.15</v>
      </c>
      <c r="L131" s="31">
        <f t="shared" si="53"/>
        <v>0.16887416666666663</v>
      </c>
      <c r="M131" s="91">
        <v>34</v>
      </c>
      <c r="N131" s="1">
        <v>0</v>
      </c>
      <c r="O131" s="83">
        <f t="shared" si="54"/>
        <v>6</v>
      </c>
    </row>
    <row r="132" spans="1:15" ht="15" customHeight="1" x14ac:dyDescent="0.4">
      <c r="A132" s="100"/>
      <c r="B132">
        <v>8</v>
      </c>
      <c r="C132" s="30">
        <v>200</v>
      </c>
      <c r="D132" s="31">
        <v>3</v>
      </c>
      <c r="E132" s="31">
        <f t="shared" si="51"/>
        <v>600</v>
      </c>
      <c r="F132" s="31">
        <v>18</v>
      </c>
      <c r="G132" s="31">
        <v>120</v>
      </c>
      <c r="H132" s="31">
        <v>40</v>
      </c>
      <c r="I132">
        <v>200</v>
      </c>
      <c r="J132" s="31">
        <v>638.13930000000005</v>
      </c>
      <c r="K132" s="31">
        <f t="shared" si="52"/>
        <v>0</v>
      </c>
      <c r="L132" s="31">
        <f t="shared" si="53"/>
        <v>6.356550000000008E-2</v>
      </c>
      <c r="M132" s="91">
        <v>200</v>
      </c>
      <c r="N132" s="1">
        <v>0</v>
      </c>
      <c r="O132" s="83">
        <f t="shared" si="54"/>
        <v>0</v>
      </c>
    </row>
    <row r="133" spans="1:15" ht="15" customHeight="1" x14ac:dyDescent="0.4">
      <c r="A133" s="100"/>
      <c r="B133">
        <v>9</v>
      </c>
      <c r="C133" s="30">
        <v>200</v>
      </c>
      <c r="D133" s="31">
        <v>3</v>
      </c>
      <c r="E133" s="31">
        <f t="shared" si="51"/>
        <v>600</v>
      </c>
      <c r="F133" s="31">
        <v>18</v>
      </c>
      <c r="G133" s="31">
        <v>120</v>
      </c>
      <c r="H133" s="31">
        <v>40</v>
      </c>
      <c r="I133">
        <v>207</v>
      </c>
      <c r="J133" s="31">
        <v>654.0942</v>
      </c>
      <c r="K133" s="31">
        <f t="shared" si="52"/>
        <v>3.5000000000000003E-2</v>
      </c>
      <c r="L133" s="31">
        <f t="shared" si="53"/>
        <v>9.0157000000000001E-2</v>
      </c>
      <c r="M133" s="91">
        <v>200</v>
      </c>
      <c r="N133" s="1">
        <v>7</v>
      </c>
      <c r="O133" s="83">
        <f t="shared" si="54"/>
        <v>0</v>
      </c>
    </row>
    <row r="134" spans="1:15" ht="15" customHeight="1" x14ac:dyDescent="0.4">
      <c r="A134" s="100"/>
      <c r="B134">
        <v>10</v>
      </c>
      <c r="C134" s="30">
        <v>190</v>
      </c>
      <c r="D134" s="31">
        <v>3</v>
      </c>
      <c r="E134" s="31">
        <f t="shared" si="51"/>
        <v>570</v>
      </c>
      <c r="F134" s="31">
        <v>18</v>
      </c>
      <c r="G134" s="31">
        <v>120</v>
      </c>
      <c r="H134" s="31">
        <v>40</v>
      </c>
      <c r="I134">
        <v>191</v>
      </c>
      <c r="J134" s="31">
        <v>610.52760000000001</v>
      </c>
      <c r="K134" s="31">
        <f t="shared" si="52"/>
        <v>5.263157894736842E-3</v>
      </c>
      <c r="L134" s="31">
        <f t="shared" si="53"/>
        <v>7.1101052631578954E-2</v>
      </c>
      <c r="M134" s="91">
        <v>190</v>
      </c>
      <c r="N134" s="1">
        <v>1</v>
      </c>
      <c r="O134" s="83">
        <f t="shared" si="54"/>
        <v>0</v>
      </c>
    </row>
    <row r="135" spans="1:15" ht="15" customHeight="1" x14ac:dyDescent="0.4">
      <c r="A135" s="100"/>
      <c r="B135">
        <v>11</v>
      </c>
      <c r="C135" s="30">
        <v>60</v>
      </c>
      <c r="D135" s="31">
        <v>3</v>
      </c>
      <c r="E135" s="31">
        <f t="shared" si="51"/>
        <v>180</v>
      </c>
      <c r="F135" s="31">
        <v>18</v>
      </c>
      <c r="G135" s="31">
        <v>120</v>
      </c>
      <c r="H135" s="31">
        <v>40</v>
      </c>
      <c r="I135">
        <v>60</v>
      </c>
      <c r="J135" s="31">
        <v>199.1225</v>
      </c>
      <c r="K135" s="31">
        <f t="shared" si="52"/>
        <v>0</v>
      </c>
      <c r="L135" s="31">
        <f t="shared" si="53"/>
        <v>0.10623611111111113</v>
      </c>
      <c r="M135" s="91">
        <v>60</v>
      </c>
      <c r="N135" s="1">
        <v>0</v>
      </c>
      <c r="O135" s="83">
        <f t="shared" si="54"/>
        <v>0</v>
      </c>
    </row>
    <row r="136" spans="1:15" ht="15" customHeight="1" x14ac:dyDescent="0.4">
      <c r="A136" s="100"/>
      <c r="B136" s="77" t="s">
        <v>72</v>
      </c>
      <c r="C136" s="78">
        <f>SUM(C125:C135)</f>
        <v>1049</v>
      </c>
      <c r="D136" s="79" t="s">
        <v>73</v>
      </c>
      <c r="E136" s="79">
        <f>SUM(E125:E135)</f>
        <v>3147</v>
      </c>
      <c r="F136" s="79" t="s">
        <v>73</v>
      </c>
      <c r="G136" s="79" t="s">
        <v>73</v>
      </c>
      <c r="H136" s="79" t="s">
        <v>73</v>
      </c>
      <c r="I136" s="78">
        <f>SUM(I125:I135)</f>
        <v>1013</v>
      </c>
      <c r="J136" s="79">
        <f>SUM(J125:J135)</f>
        <v>3210.8442</v>
      </c>
      <c r="K136" s="50"/>
      <c r="L136" s="50"/>
      <c r="M136" s="89">
        <f>SUM(M125:M135)</f>
        <v>1003</v>
      </c>
      <c r="N136" s="89">
        <f t="shared" ref="N136:O136" si="55">SUM(N125:N135)</f>
        <v>10</v>
      </c>
      <c r="O136" s="92">
        <f t="shared" si="55"/>
        <v>46</v>
      </c>
    </row>
    <row r="137" spans="1:15" ht="15" customHeight="1" x14ac:dyDescent="0.4">
      <c r="A137" s="100" t="s">
        <v>43</v>
      </c>
      <c r="B137" s="76">
        <v>1</v>
      </c>
      <c r="C137" s="30">
        <v>40</v>
      </c>
      <c r="D137" s="31">
        <v>3</v>
      </c>
      <c r="E137" s="31">
        <f t="shared" ref="E137:E161" si="56">C137*D137</f>
        <v>120</v>
      </c>
      <c r="F137" s="31">
        <v>18</v>
      </c>
      <c r="G137" s="31">
        <v>120</v>
      </c>
      <c r="H137" s="31">
        <v>40</v>
      </c>
      <c r="I137">
        <v>40</v>
      </c>
      <c r="J137" s="31">
        <v>128.85169999999999</v>
      </c>
      <c r="K137" s="31">
        <f t="shared" ref="K137:K161" si="57">ABS((I137-C137)/C137)</f>
        <v>0</v>
      </c>
      <c r="L137" s="31">
        <f t="shared" ref="L137:L161" si="58">ABS((J137-E137)/E137)</f>
        <v>7.3764166666666617E-2</v>
      </c>
      <c r="M137" s="91">
        <v>40</v>
      </c>
      <c r="N137" s="1">
        <v>0</v>
      </c>
      <c r="O137" s="83">
        <f t="shared" si="54"/>
        <v>0</v>
      </c>
    </row>
    <row r="138" spans="1:15" ht="15" customHeight="1" x14ac:dyDescent="0.4">
      <c r="A138" s="100"/>
      <c r="B138">
        <v>2</v>
      </c>
      <c r="C138" s="30">
        <v>40</v>
      </c>
      <c r="D138" s="31">
        <v>3</v>
      </c>
      <c r="E138" s="31">
        <f t="shared" si="56"/>
        <v>120</v>
      </c>
      <c r="F138" s="31">
        <v>18</v>
      </c>
      <c r="G138" s="31">
        <v>120</v>
      </c>
      <c r="H138" s="31">
        <v>40</v>
      </c>
      <c r="I138">
        <v>40</v>
      </c>
      <c r="J138" s="31">
        <v>131.68700000000001</v>
      </c>
      <c r="K138" s="31">
        <f t="shared" si="57"/>
        <v>0</v>
      </c>
      <c r="L138" s="31">
        <f t="shared" si="58"/>
        <v>9.7391666666666765E-2</v>
      </c>
      <c r="M138" s="91">
        <v>40</v>
      </c>
      <c r="N138" s="1">
        <v>0</v>
      </c>
      <c r="O138" s="83">
        <f t="shared" si="54"/>
        <v>0</v>
      </c>
    </row>
    <row r="139" spans="1:15" ht="15" customHeight="1" x14ac:dyDescent="0.4">
      <c r="A139" s="100"/>
      <c r="B139">
        <v>3</v>
      </c>
      <c r="C139" s="30">
        <v>40</v>
      </c>
      <c r="D139" s="31">
        <v>3</v>
      </c>
      <c r="E139" s="31">
        <f t="shared" si="56"/>
        <v>120</v>
      </c>
      <c r="F139" s="31">
        <v>18</v>
      </c>
      <c r="G139" s="31">
        <v>120</v>
      </c>
      <c r="H139" s="31">
        <v>40</v>
      </c>
      <c r="I139">
        <v>40</v>
      </c>
      <c r="J139" s="31">
        <v>129.85159999999999</v>
      </c>
      <c r="K139" s="31">
        <f t="shared" si="57"/>
        <v>0</v>
      </c>
      <c r="L139" s="31">
        <f t="shared" si="58"/>
        <v>8.2096666666666582E-2</v>
      </c>
      <c r="M139" s="91">
        <v>40</v>
      </c>
      <c r="N139" s="1">
        <v>0</v>
      </c>
      <c r="O139" s="83">
        <f t="shared" si="54"/>
        <v>0</v>
      </c>
    </row>
    <row r="140" spans="1:15" ht="15" customHeight="1" x14ac:dyDescent="0.4">
      <c r="A140" s="100"/>
      <c r="B140">
        <v>4</v>
      </c>
      <c r="C140" s="30">
        <v>40</v>
      </c>
      <c r="D140" s="31">
        <v>3</v>
      </c>
      <c r="E140" s="31">
        <f t="shared" si="56"/>
        <v>120</v>
      </c>
      <c r="F140" s="31">
        <v>18</v>
      </c>
      <c r="G140" s="31">
        <v>120</v>
      </c>
      <c r="H140" s="31">
        <v>40</v>
      </c>
      <c r="I140">
        <v>40</v>
      </c>
      <c r="J140" s="31">
        <v>130.7159</v>
      </c>
      <c r="K140" s="31">
        <f t="shared" si="57"/>
        <v>0</v>
      </c>
      <c r="L140" s="31">
        <f t="shared" si="58"/>
        <v>8.9299166666666707E-2</v>
      </c>
      <c r="M140" s="91">
        <v>40</v>
      </c>
      <c r="N140" s="1">
        <v>0</v>
      </c>
      <c r="O140" s="83">
        <f t="shared" si="54"/>
        <v>0</v>
      </c>
    </row>
    <row r="141" spans="1:15" ht="15" customHeight="1" x14ac:dyDescent="0.4">
      <c r="A141" s="100"/>
      <c r="B141">
        <v>5</v>
      </c>
      <c r="C141" s="30">
        <v>40</v>
      </c>
      <c r="D141" s="31">
        <v>3</v>
      </c>
      <c r="E141" s="31">
        <f t="shared" si="56"/>
        <v>120</v>
      </c>
      <c r="F141" s="31">
        <v>18</v>
      </c>
      <c r="G141" s="31">
        <v>120</v>
      </c>
      <c r="H141" s="31">
        <v>40</v>
      </c>
      <c r="I141">
        <v>40</v>
      </c>
      <c r="J141" s="31">
        <v>132.18530000000001</v>
      </c>
      <c r="K141" s="31">
        <f t="shared" si="57"/>
        <v>0</v>
      </c>
      <c r="L141" s="31">
        <f t="shared" si="58"/>
        <v>0.10154416666666677</v>
      </c>
      <c r="M141" s="91">
        <v>40</v>
      </c>
      <c r="N141" s="1">
        <v>0</v>
      </c>
      <c r="O141" s="83">
        <f t="shared" si="54"/>
        <v>0</v>
      </c>
    </row>
    <row r="142" spans="1:15" ht="15" customHeight="1" x14ac:dyDescent="0.4">
      <c r="A142" s="100"/>
      <c r="B142">
        <v>6</v>
      </c>
      <c r="C142" s="30">
        <v>40</v>
      </c>
      <c r="D142" s="31">
        <v>3</v>
      </c>
      <c r="E142" s="31">
        <f t="shared" si="56"/>
        <v>120</v>
      </c>
      <c r="F142" s="31">
        <v>18</v>
      </c>
      <c r="G142" s="31">
        <v>120</v>
      </c>
      <c r="H142" s="31">
        <v>40</v>
      </c>
      <c r="I142">
        <v>40</v>
      </c>
      <c r="J142" s="31">
        <v>131.5598</v>
      </c>
      <c r="K142" s="31">
        <f t="shared" si="57"/>
        <v>0</v>
      </c>
      <c r="L142" s="31">
        <f t="shared" si="58"/>
        <v>9.6331666666666635E-2</v>
      </c>
      <c r="M142" s="91">
        <v>40</v>
      </c>
      <c r="N142" s="1">
        <v>0</v>
      </c>
      <c r="O142" s="83">
        <f t="shared" si="54"/>
        <v>0</v>
      </c>
    </row>
    <row r="143" spans="1:15" ht="15" customHeight="1" x14ac:dyDescent="0.4">
      <c r="A143" s="100"/>
      <c r="B143">
        <v>7</v>
      </c>
      <c r="C143" s="30">
        <v>40</v>
      </c>
      <c r="D143" s="31">
        <v>3</v>
      </c>
      <c r="E143" s="31">
        <f t="shared" si="56"/>
        <v>120</v>
      </c>
      <c r="F143" s="31">
        <v>18</v>
      </c>
      <c r="G143" s="31">
        <v>120</v>
      </c>
      <c r="H143" s="31">
        <v>40</v>
      </c>
      <c r="I143">
        <v>40</v>
      </c>
      <c r="J143" s="31">
        <v>129.31440000000001</v>
      </c>
      <c r="K143" s="31">
        <f t="shared" si="57"/>
        <v>0</v>
      </c>
      <c r="L143" s="31">
        <f t="shared" si="58"/>
        <v>7.762000000000005E-2</v>
      </c>
      <c r="M143" s="91">
        <v>40</v>
      </c>
      <c r="N143" s="1">
        <v>0</v>
      </c>
      <c r="O143" s="83">
        <f t="shared" si="54"/>
        <v>0</v>
      </c>
    </row>
    <row r="144" spans="1:15" ht="15" customHeight="1" x14ac:dyDescent="0.4">
      <c r="A144" s="100"/>
      <c r="B144">
        <v>8</v>
      </c>
      <c r="C144" s="30">
        <v>40</v>
      </c>
      <c r="D144" s="31">
        <v>3</v>
      </c>
      <c r="E144" s="31">
        <f t="shared" si="56"/>
        <v>120</v>
      </c>
      <c r="F144" s="31">
        <v>18</v>
      </c>
      <c r="G144" s="31">
        <v>120</v>
      </c>
      <c r="H144" s="31">
        <v>40</v>
      </c>
      <c r="I144">
        <v>40</v>
      </c>
      <c r="J144" s="31">
        <v>122.0562</v>
      </c>
      <c r="K144" s="31">
        <f t="shared" si="57"/>
        <v>0</v>
      </c>
      <c r="L144" s="31">
        <f t="shared" si="58"/>
        <v>1.7135000000000032E-2</v>
      </c>
      <c r="M144" s="91">
        <v>40</v>
      </c>
      <c r="N144" s="1">
        <v>0</v>
      </c>
      <c r="O144" s="83">
        <f t="shared" si="54"/>
        <v>0</v>
      </c>
    </row>
    <row r="145" spans="1:15" ht="15" customHeight="1" x14ac:dyDescent="0.4">
      <c r="A145" s="100"/>
      <c r="B145">
        <v>9</v>
      </c>
      <c r="C145" s="30">
        <v>40</v>
      </c>
      <c r="D145" s="31">
        <v>3</v>
      </c>
      <c r="E145" s="31">
        <f t="shared" si="56"/>
        <v>120</v>
      </c>
      <c r="F145" s="31">
        <v>18</v>
      </c>
      <c r="G145" s="31">
        <v>120</v>
      </c>
      <c r="H145" s="31">
        <v>40</v>
      </c>
      <c r="I145">
        <v>41</v>
      </c>
      <c r="J145" s="31">
        <v>131.46850000000001</v>
      </c>
      <c r="K145" s="31">
        <f t="shared" si="57"/>
        <v>2.5000000000000001E-2</v>
      </c>
      <c r="L145" s="31">
        <f t="shared" si="58"/>
        <v>9.5570833333333383E-2</v>
      </c>
      <c r="M145" s="91">
        <v>40</v>
      </c>
      <c r="N145" s="1">
        <v>1</v>
      </c>
      <c r="O145" s="83">
        <f t="shared" si="54"/>
        <v>0</v>
      </c>
    </row>
    <row r="146" spans="1:15" ht="15" customHeight="1" x14ac:dyDescent="0.4">
      <c r="A146" s="100"/>
      <c r="B146" s="25">
        <v>10</v>
      </c>
      <c r="C146" s="30">
        <v>40</v>
      </c>
      <c r="D146" s="31">
        <v>3</v>
      </c>
      <c r="E146" s="31">
        <f t="shared" si="56"/>
        <v>120</v>
      </c>
      <c r="F146" s="31">
        <v>18</v>
      </c>
      <c r="G146" s="31">
        <v>120</v>
      </c>
      <c r="H146" s="31">
        <v>40</v>
      </c>
      <c r="I146">
        <v>40</v>
      </c>
      <c r="J146" s="31">
        <v>129.96729999999999</v>
      </c>
      <c r="K146" s="31">
        <f t="shared" si="57"/>
        <v>0</v>
      </c>
      <c r="L146" s="31">
        <f t="shared" si="58"/>
        <v>8.3060833333333292E-2</v>
      </c>
      <c r="M146" s="91">
        <v>40</v>
      </c>
      <c r="N146" s="1">
        <v>0</v>
      </c>
      <c r="O146" s="83">
        <f t="shared" si="54"/>
        <v>0</v>
      </c>
    </row>
    <row r="147" spans="1:15" ht="15" customHeight="1" x14ac:dyDescent="0.4">
      <c r="A147" s="100"/>
      <c r="B147">
        <v>11</v>
      </c>
      <c r="C147" s="30">
        <v>40</v>
      </c>
      <c r="D147" s="31">
        <v>3</v>
      </c>
      <c r="E147" s="31">
        <f t="shared" si="56"/>
        <v>120</v>
      </c>
      <c r="F147" s="31">
        <v>18</v>
      </c>
      <c r="G147" s="31">
        <v>120</v>
      </c>
      <c r="H147" s="31">
        <v>40</v>
      </c>
      <c r="I147">
        <v>40</v>
      </c>
      <c r="J147" s="31">
        <v>130.21029999999999</v>
      </c>
      <c r="K147" s="31">
        <f t="shared" si="57"/>
        <v>0</v>
      </c>
      <c r="L147" s="31">
        <f t="shared" si="58"/>
        <v>8.5085833333333249E-2</v>
      </c>
      <c r="M147" s="91">
        <v>40</v>
      </c>
      <c r="N147" s="1">
        <v>0</v>
      </c>
      <c r="O147" s="83">
        <f t="shared" si="54"/>
        <v>0</v>
      </c>
    </row>
    <row r="148" spans="1:15" ht="15" customHeight="1" x14ac:dyDescent="0.4">
      <c r="A148" s="100"/>
      <c r="B148">
        <v>12</v>
      </c>
      <c r="C148" s="30">
        <v>40</v>
      </c>
      <c r="D148" s="31">
        <v>3</v>
      </c>
      <c r="E148" s="31">
        <f t="shared" si="56"/>
        <v>120</v>
      </c>
      <c r="F148" s="31">
        <v>18</v>
      </c>
      <c r="G148" s="31">
        <v>120</v>
      </c>
      <c r="H148" s="31">
        <v>40</v>
      </c>
      <c r="I148">
        <v>40</v>
      </c>
      <c r="J148" s="31">
        <v>129.744</v>
      </c>
      <c r="K148" s="31">
        <f t="shared" si="57"/>
        <v>0</v>
      </c>
      <c r="L148" s="31">
        <f t="shared" si="58"/>
        <v>8.1199999999999994E-2</v>
      </c>
      <c r="M148" s="91">
        <v>40</v>
      </c>
      <c r="N148" s="1">
        <v>0</v>
      </c>
      <c r="O148" s="83">
        <f t="shared" si="54"/>
        <v>0</v>
      </c>
    </row>
    <row r="149" spans="1:15" ht="15" customHeight="1" x14ac:dyDescent="0.4">
      <c r="A149" s="100"/>
      <c r="B149">
        <v>13</v>
      </c>
      <c r="C149" s="30">
        <v>40</v>
      </c>
      <c r="D149" s="31">
        <v>3</v>
      </c>
      <c r="E149" s="31">
        <f t="shared" si="56"/>
        <v>120</v>
      </c>
      <c r="F149" s="31">
        <v>18</v>
      </c>
      <c r="G149" s="31">
        <v>120</v>
      </c>
      <c r="H149" s="31">
        <v>40</v>
      </c>
      <c r="I149">
        <v>40</v>
      </c>
      <c r="J149" s="31">
        <v>131.1165</v>
      </c>
      <c r="K149" s="31">
        <f t="shared" si="57"/>
        <v>0</v>
      </c>
      <c r="L149" s="31">
        <f t="shared" si="58"/>
        <v>9.2637500000000012E-2</v>
      </c>
      <c r="M149" s="91">
        <v>40</v>
      </c>
      <c r="N149" s="1">
        <v>0</v>
      </c>
      <c r="O149" s="83">
        <f t="shared" si="54"/>
        <v>0</v>
      </c>
    </row>
    <row r="150" spans="1:15" ht="15" customHeight="1" x14ac:dyDescent="0.4">
      <c r="A150" s="100"/>
      <c r="B150">
        <v>14</v>
      </c>
      <c r="C150" s="30">
        <v>40</v>
      </c>
      <c r="D150" s="31">
        <v>3</v>
      </c>
      <c r="E150" s="31">
        <f t="shared" si="56"/>
        <v>120</v>
      </c>
      <c r="F150" s="31">
        <v>18</v>
      </c>
      <c r="G150" s="31">
        <v>120</v>
      </c>
      <c r="H150" s="31">
        <v>40</v>
      </c>
      <c r="I150">
        <v>40</v>
      </c>
      <c r="J150" s="31">
        <v>124.9706</v>
      </c>
      <c r="K150" s="31">
        <f t="shared" si="57"/>
        <v>0</v>
      </c>
      <c r="L150" s="31">
        <f t="shared" si="58"/>
        <v>4.1421666666666704E-2</v>
      </c>
      <c r="M150" s="91">
        <v>40</v>
      </c>
      <c r="N150" s="1">
        <v>0</v>
      </c>
      <c r="O150" s="83">
        <f t="shared" si="54"/>
        <v>0</v>
      </c>
    </row>
    <row r="151" spans="1:15" ht="15" customHeight="1" x14ac:dyDescent="0.4">
      <c r="A151" s="100"/>
      <c r="B151">
        <v>15</v>
      </c>
      <c r="C151" s="30">
        <v>40</v>
      </c>
      <c r="D151" s="31">
        <v>3</v>
      </c>
      <c r="E151" s="31">
        <f t="shared" si="56"/>
        <v>120</v>
      </c>
      <c r="F151" s="31">
        <v>18</v>
      </c>
      <c r="G151" s="31">
        <v>120</v>
      </c>
      <c r="H151" s="31">
        <v>40</v>
      </c>
      <c r="I151">
        <v>40</v>
      </c>
      <c r="J151" s="31">
        <v>131.39400000000001</v>
      </c>
      <c r="K151" s="31">
        <f t="shared" si="57"/>
        <v>0</v>
      </c>
      <c r="L151" s="31">
        <f t="shared" si="58"/>
        <v>9.4950000000000048E-2</v>
      </c>
      <c r="M151" s="91">
        <v>40</v>
      </c>
      <c r="N151" s="1">
        <v>0</v>
      </c>
      <c r="O151" s="83">
        <f t="shared" si="54"/>
        <v>0</v>
      </c>
    </row>
    <row r="152" spans="1:15" ht="15" customHeight="1" x14ac:dyDescent="0.4">
      <c r="A152" s="100"/>
      <c r="B152">
        <v>16</v>
      </c>
      <c r="C152" s="30">
        <v>40</v>
      </c>
      <c r="D152" s="31">
        <v>3</v>
      </c>
      <c r="E152" s="31">
        <f t="shared" si="56"/>
        <v>120</v>
      </c>
      <c r="F152" s="31">
        <v>18</v>
      </c>
      <c r="G152" s="31">
        <v>120</v>
      </c>
      <c r="H152" s="31">
        <v>40</v>
      </c>
      <c r="I152">
        <v>40</v>
      </c>
      <c r="J152" s="31">
        <v>131.01660000000001</v>
      </c>
      <c r="K152" s="31">
        <f t="shared" si="57"/>
        <v>0</v>
      </c>
      <c r="L152" s="31">
        <f t="shared" si="58"/>
        <v>9.1805000000000095E-2</v>
      </c>
      <c r="M152" s="91">
        <v>40</v>
      </c>
      <c r="N152" s="1">
        <v>0</v>
      </c>
      <c r="O152" s="83">
        <f t="shared" si="54"/>
        <v>0</v>
      </c>
    </row>
    <row r="153" spans="1:15" ht="15" customHeight="1" x14ac:dyDescent="0.4">
      <c r="A153" s="100"/>
      <c r="B153">
        <v>17</v>
      </c>
      <c r="C153" s="30">
        <v>40</v>
      </c>
      <c r="D153" s="31">
        <v>3</v>
      </c>
      <c r="E153" s="31">
        <f t="shared" si="56"/>
        <v>120</v>
      </c>
      <c r="F153" s="31">
        <v>18</v>
      </c>
      <c r="G153" s="31">
        <v>120</v>
      </c>
      <c r="H153" s="31">
        <v>40</v>
      </c>
      <c r="I153">
        <v>41</v>
      </c>
      <c r="J153" s="31">
        <v>132.84209999999999</v>
      </c>
      <c r="K153" s="31">
        <f t="shared" si="57"/>
        <v>2.5000000000000001E-2</v>
      </c>
      <c r="L153" s="31">
        <f t="shared" si="58"/>
        <v>0.1070174999999999</v>
      </c>
      <c r="M153" s="91">
        <v>40</v>
      </c>
      <c r="N153" s="1">
        <v>1</v>
      </c>
      <c r="O153" s="83">
        <f t="shared" si="54"/>
        <v>0</v>
      </c>
    </row>
    <row r="154" spans="1:15" ht="15" customHeight="1" x14ac:dyDescent="0.4">
      <c r="A154" s="100"/>
      <c r="B154">
        <v>18</v>
      </c>
      <c r="C154" s="30">
        <v>40</v>
      </c>
      <c r="D154" s="31">
        <v>3</v>
      </c>
      <c r="E154" s="31">
        <f t="shared" si="56"/>
        <v>120</v>
      </c>
      <c r="F154" s="31">
        <v>18</v>
      </c>
      <c r="G154" s="31">
        <v>120</v>
      </c>
      <c r="H154" s="31">
        <v>40</v>
      </c>
      <c r="I154">
        <v>42</v>
      </c>
      <c r="J154" s="31">
        <v>133.2645</v>
      </c>
      <c r="K154" s="31">
        <f t="shared" si="57"/>
        <v>0.05</v>
      </c>
      <c r="L154" s="31">
        <f t="shared" si="58"/>
        <v>0.11053749999999998</v>
      </c>
      <c r="M154" s="91">
        <v>40</v>
      </c>
      <c r="N154" s="1">
        <v>2</v>
      </c>
      <c r="O154" s="83">
        <f t="shared" si="54"/>
        <v>0</v>
      </c>
    </row>
    <row r="155" spans="1:15" ht="15" customHeight="1" x14ac:dyDescent="0.4">
      <c r="A155" s="100"/>
      <c r="B155">
        <v>19</v>
      </c>
      <c r="C155" s="30">
        <v>40</v>
      </c>
      <c r="D155" s="31">
        <v>3</v>
      </c>
      <c r="E155" s="31">
        <f t="shared" si="56"/>
        <v>120</v>
      </c>
      <c r="F155" s="31">
        <v>18</v>
      </c>
      <c r="G155" s="31">
        <v>120</v>
      </c>
      <c r="H155" s="31">
        <v>40</v>
      </c>
      <c r="I155">
        <v>39</v>
      </c>
      <c r="J155" s="31">
        <v>127.5121</v>
      </c>
      <c r="K155" s="31">
        <f t="shared" si="57"/>
        <v>2.5000000000000001E-2</v>
      </c>
      <c r="L155" s="31">
        <f t="shared" si="58"/>
        <v>6.2600833333333369E-2</v>
      </c>
      <c r="M155" s="91">
        <v>39</v>
      </c>
      <c r="N155" s="1">
        <v>0</v>
      </c>
      <c r="O155" s="83">
        <f t="shared" si="54"/>
        <v>1</v>
      </c>
    </row>
    <row r="156" spans="1:15" ht="15" customHeight="1" x14ac:dyDescent="0.4">
      <c r="A156" s="100"/>
      <c r="B156">
        <v>20</v>
      </c>
      <c r="C156" s="30">
        <v>40</v>
      </c>
      <c r="D156" s="31">
        <v>3</v>
      </c>
      <c r="E156" s="31">
        <f t="shared" si="56"/>
        <v>120</v>
      </c>
      <c r="F156" s="31">
        <v>18</v>
      </c>
      <c r="G156" s="31">
        <v>120</v>
      </c>
      <c r="H156" s="31">
        <v>40</v>
      </c>
      <c r="I156">
        <v>40</v>
      </c>
      <c r="J156" s="31">
        <v>129.6283</v>
      </c>
      <c r="K156" s="31">
        <f t="shared" si="57"/>
        <v>0</v>
      </c>
      <c r="L156" s="31">
        <f t="shared" si="58"/>
        <v>8.0235833333333298E-2</v>
      </c>
      <c r="M156" s="91">
        <v>40</v>
      </c>
      <c r="N156" s="1">
        <v>0</v>
      </c>
      <c r="O156" s="83">
        <f t="shared" si="54"/>
        <v>0</v>
      </c>
    </row>
    <row r="157" spans="1:15" ht="15" customHeight="1" x14ac:dyDescent="0.4">
      <c r="A157" s="100"/>
      <c r="B157">
        <v>21</v>
      </c>
      <c r="C157" s="30">
        <v>40</v>
      </c>
      <c r="D157" s="31">
        <v>3</v>
      </c>
      <c r="E157" s="31">
        <f t="shared" si="56"/>
        <v>120</v>
      </c>
      <c r="F157" s="31">
        <v>18</v>
      </c>
      <c r="G157" s="31">
        <v>120</v>
      </c>
      <c r="H157" s="31">
        <v>40</v>
      </c>
      <c r="I157">
        <v>40</v>
      </c>
      <c r="J157" s="31">
        <v>129.24529999999999</v>
      </c>
      <c r="K157" s="31">
        <f t="shared" si="57"/>
        <v>0</v>
      </c>
      <c r="L157" s="31">
        <f t="shared" si="58"/>
        <v>7.7044166666666553E-2</v>
      </c>
      <c r="M157" s="91">
        <v>40</v>
      </c>
      <c r="N157" s="1">
        <v>0</v>
      </c>
      <c r="O157" s="83">
        <f t="shared" si="54"/>
        <v>0</v>
      </c>
    </row>
    <row r="158" spans="1:15" ht="15" customHeight="1" x14ac:dyDescent="0.4">
      <c r="A158" s="100"/>
      <c r="B158">
        <v>22</v>
      </c>
      <c r="C158" s="30">
        <v>40</v>
      </c>
      <c r="D158" s="31">
        <v>3</v>
      </c>
      <c r="E158" s="31">
        <f t="shared" si="56"/>
        <v>120</v>
      </c>
      <c r="F158" s="31">
        <v>18</v>
      </c>
      <c r="G158" s="31">
        <v>120</v>
      </c>
      <c r="H158" s="31">
        <v>40</v>
      </c>
      <c r="I158">
        <v>40</v>
      </c>
      <c r="J158" s="31">
        <v>129.90629999999999</v>
      </c>
      <c r="K158" s="31">
        <f t="shared" si="57"/>
        <v>0</v>
      </c>
      <c r="L158" s="31">
        <f t="shared" si="58"/>
        <v>8.255249999999989E-2</v>
      </c>
      <c r="M158" s="91">
        <v>40</v>
      </c>
      <c r="N158" s="1">
        <v>0</v>
      </c>
      <c r="O158" s="83">
        <f t="shared" si="54"/>
        <v>0</v>
      </c>
    </row>
    <row r="159" spans="1:15" ht="15" customHeight="1" x14ac:dyDescent="0.4">
      <c r="A159" s="100"/>
      <c r="B159">
        <v>23</v>
      </c>
      <c r="C159" s="30">
        <v>40</v>
      </c>
      <c r="D159" s="31">
        <v>3</v>
      </c>
      <c r="E159" s="31">
        <f t="shared" si="56"/>
        <v>120</v>
      </c>
      <c r="F159" s="31">
        <v>18</v>
      </c>
      <c r="G159" s="31">
        <v>120</v>
      </c>
      <c r="H159" s="31">
        <v>40</v>
      </c>
      <c r="I159">
        <v>40</v>
      </c>
      <c r="J159" s="31">
        <v>129.8921</v>
      </c>
      <c r="K159" s="31">
        <f t="shared" si="57"/>
        <v>0</v>
      </c>
      <c r="L159" s="31">
        <f t="shared" si="58"/>
        <v>8.2434166666666656E-2</v>
      </c>
      <c r="M159" s="91">
        <v>40</v>
      </c>
      <c r="N159" s="1">
        <v>0</v>
      </c>
      <c r="O159" s="83">
        <f t="shared" si="54"/>
        <v>0</v>
      </c>
    </row>
    <row r="160" spans="1:15" ht="15" customHeight="1" x14ac:dyDescent="0.4">
      <c r="A160" s="100"/>
      <c r="B160">
        <v>24</v>
      </c>
      <c r="C160" s="30">
        <v>40</v>
      </c>
      <c r="D160" s="31">
        <v>3</v>
      </c>
      <c r="E160" s="31">
        <f t="shared" si="56"/>
        <v>120</v>
      </c>
      <c r="F160" s="31">
        <v>18</v>
      </c>
      <c r="G160" s="31">
        <v>120</v>
      </c>
      <c r="H160" s="31">
        <v>40</v>
      </c>
      <c r="I160">
        <v>40</v>
      </c>
      <c r="J160" s="31">
        <v>129.86160000000001</v>
      </c>
      <c r="K160" s="31">
        <f t="shared" si="57"/>
        <v>0</v>
      </c>
      <c r="L160" s="31">
        <f t="shared" si="58"/>
        <v>8.2180000000000086E-2</v>
      </c>
      <c r="M160" s="91">
        <v>40</v>
      </c>
      <c r="N160" s="1">
        <v>0</v>
      </c>
      <c r="O160" s="83">
        <f t="shared" si="54"/>
        <v>0</v>
      </c>
    </row>
    <row r="161" spans="1:15" ht="15" customHeight="1" x14ac:dyDescent="0.4">
      <c r="A161" s="100"/>
      <c r="B161">
        <v>25</v>
      </c>
      <c r="C161" s="30">
        <v>40</v>
      </c>
      <c r="D161" s="31">
        <v>3</v>
      </c>
      <c r="E161" s="31">
        <f t="shared" si="56"/>
        <v>120</v>
      </c>
      <c r="F161" s="31">
        <v>18</v>
      </c>
      <c r="G161" s="31">
        <v>120</v>
      </c>
      <c r="H161" s="31">
        <v>40</v>
      </c>
      <c r="I161">
        <v>41</v>
      </c>
      <c r="J161" s="31">
        <v>130.97329999999999</v>
      </c>
      <c r="K161" s="31">
        <f t="shared" si="57"/>
        <v>2.5000000000000001E-2</v>
      </c>
      <c r="L161" s="31">
        <f t="shared" si="58"/>
        <v>9.1444166666666618E-2</v>
      </c>
      <c r="M161" s="91">
        <v>40</v>
      </c>
      <c r="N161" s="1">
        <v>1</v>
      </c>
      <c r="O161" s="83">
        <f t="shared" si="54"/>
        <v>0</v>
      </c>
    </row>
    <row r="162" spans="1:15" ht="15" customHeight="1" x14ac:dyDescent="0.4">
      <c r="A162" s="100"/>
      <c r="B162" s="77" t="s">
        <v>72</v>
      </c>
      <c r="C162" s="78">
        <f>SUM(C137:C161)</f>
        <v>1000</v>
      </c>
      <c r="D162" s="79" t="s">
        <v>73</v>
      </c>
      <c r="E162" s="79">
        <f>SUM(E137:E161)</f>
        <v>3000</v>
      </c>
      <c r="F162" s="79" t="s">
        <v>73</v>
      </c>
      <c r="G162" s="79" t="s">
        <v>73</v>
      </c>
      <c r="H162" s="79" t="s">
        <v>73</v>
      </c>
      <c r="I162" s="78">
        <f>SUM(I137:I161)</f>
        <v>1004</v>
      </c>
      <c r="J162" s="79">
        <f>SUM(J137:J161)</f>
        <v>3249.2353000000003</v>
      </c>
      <c r="K162" s="50"/>
      <c r="L162" s="93"/>
      <c r="M162" s="89">
        <f>SUM(M137:M161)</f>
        <v>999</v>
      </c>
      <c r="N162" s="89">
        <f t="shared" ref="N162:O162" si="59">SUM(N137:N161)</f>
        <v>5</v>
      </c>
      <c r="O162" s="92">
        <f t="shared" si="59"/>
        <v>1</v>
      </c>
    </row>
    <row r="163" spans="1:15" ht="15" customHeight="1" x14ac:dyDescent="0.4">
      <c r="A163" s="100" t="s">
        <v>45</v>
      </c>
      <c r="B163" s="76">
        <v>1</v>
      </c>
      <c r="C163" s="30">
        <v>40</v>
      </c>
      <c r="D163" s="31">
        <v>3</v>
      </c>
      <c r="E163" s="31">
        <f t="shared" ref="E163:E168" si="60">C163*D163</f>
        <v>120</v>
      </c>
      <c r="F163" s="31">
        <v>18</v>
      </c>
      <c r="G163" s="31">
        <v>120</v>
      </c>
      <c r="H163" s="31">
        <v>40</v>
      </c>
      <c r="I163">
        <v>40</v>
      </c>
      <c r="J163" s="31">
        <v>128.6867</v>
      </c>
      <c r="K163" s="31">
        <f t="shared" ref="K163:K168" si="61">ABS((I163-C163)/C163)</f>
        <v>0</v>
      </c>
      <c r="L163" s="31">
        <f t="shared" ref="L163:L168" si="62">ABS((J163-E163)/E163)</f>
        <v>7.2389166666666685E-2</v>
      </c>
      <c r="M163" s="91">
        <v>40</v>
      </c>
      <c r="N163" s="1">
        <v>0</v>
      </c>
      <c r="O163" s="83">
        <f t="shared" si="54"/>
        <v>0</v>
      </c>
    </row>
    <row r="164" spans="1:15" ht="15" customHeight="1" x14ac:dyDescent="0.4">
      <c r="A164" s="100"/>
      <c r="B164">
        <v>2</v>
      </c>
      <c r="C164" s="30">
        <v>40</v>
      </c>
      <c r="D164" s="31">
        <v>3</v>
      </c>
      <c r="E164" s="31">
        <f t="shared" si="60"/>
        <v>120</v>
      </c>
      <c r="F164" s="31">
        <v>18</v>
      </c>
      <c r="G164" s="31">
        <v>120</v>
      </c>
      <c r="H164" s="31">
        <v>40</v>
      </c>
      <c r="I164">
        <v>40</v>
      </c>
      <c r="J164" s="31">
        <v>129.14699999999999</v>
      </c>
      <c r="K164" s="31">
        <f t="shared" si="61"/>
        <v>0</v>
      </c>
      <c r="L164" s="31">
        <f t="shared" si="62"/>
        <v>7.6224999999999932E-2</v>
      </c>
      <c r="M164" s="91">
        <v>40</v>
      </c>
      <c r="N164" s="1">
        <v>0</v>
      </c>
      <c r="O164" s="83">
        <f t="shared" si="54"/>
        <v>0</v>
      </c>
    </row>
    <row r="165" spans="1:15" ht="15" customHeight="1" x14ac:dyDescent="0.4">
      <c r="A165" s="100"/>
      <c r="B165">
        <v>3</v>
      </c>
      <c r="C165" s="30">
        <v>40</v>
      </c>
      <c r="D165" s="31">
        <v>3</v>
      </c>
      <c r="E165" s="31">
        <f t="shared" si="60"/>
        <v>120</v>
      </c>
      <c r="F165" s="31">
        <v>18</v>
      </c>
      <c r="G165" s="31">
        <v>120</v>
      </c>
      <c r="H165" s="31">
        <v>40</v>
      </c>
      <c r="I165">
        <v>40</v>
      </c>
      <c r="J165" s="31">
        <v>129.84139999999999</v>
      </c>
      <c r="K165" s="31">
        <f t="shared" si="61"/>
        <v>0</v>
      </c>
      <c r="L165" s="31">
        <f t="shared" si="62"/>
        <v>8.2011666666666608E-2</v>
      </c>
      <c r="M165" s="91">
        <v>40</v>
      </c>
      <c r="N165" s="1">
        <v>0</v>
      </c>
      <c r="O165" s="83">
        <f t="shared" si="54"/>
        <v>0</v>
      </c>
    </row>
    <row r="166" spans="1:15" ht="15" customHeight="1" x14ac:dyDescent="0.4">
      <c r="A166" s="100"/>
      <c r="B166">
        <v>4</v>
      </c>
      <c r="C166" s="30">
        <v>40</v>
      </c>
      <c r="D166" s="31">
        <v>3</v>
      </c>
      <c r="E166" s="31">
        <f t="shared" si="60"/>
        <v>120</v>
      </c>
      <c r="F166" s="31">
        <v>18</v>
      </c>
      <c r="G166" s="31">
        <v>120</v>
      </c>
      <c r="H166" s="31">
        <v>40</v>
      </c>
      <c r="I166">
        <v>40</v>
      </c>
      <c r="J166" s="31">
        <v>129.0301</v>
      </c>
      <c r="K166" s="31">
        <f t="shared" si="61"/>
        <v>0</v>
      </c>
      <c r="L166" s="31">
        <f t="shared" si="62"/>
        <v>7.5250833333333364E-2</v>
      </c>
      <c r="M166" s="91">
        <v>40</v>
      </c>
      <c r="N166" s="1">
        <v>0</v>
      </c>
      <c r="O166" s="83">
        <f t="shared" si="54"/>
        <v>0</v>
      </c>
    </row>
    <row r="167" spans="1:15" ht="15" customHeight="1" x14ac:dyDescent="0.4">
      <c r="A167" s="100"/>
      <c r="B167">
        <v>5</v>
      </c>
      <c r="C167" s="30">
        <v>40</v>
      </c>
      <c r="D167" s="31">
        <v>3</v>
      </c>
      <c r="E167" s="31">
        <f t="shared" si="60"/>
        <v>120</v>
      </c>
      <c r="F167" s="31">
        <v>18</v>
      </c>
      <c r="G167" s="31">
        <v>120</v>
      </c>
      <c r="H167" s="31">
        <v>40</v>
      </c>
      <c r="I167">
        <v>40</v>
      </c>
      <c r="J167" s="31">
        <v>127.7064</v>
      </c>
      <c r="K167" s="31">
        <f t="shared" si="61"/>
        <v>0</v>
      </c>
      <c r="L167" s="31">
        <f t="shared" si="62"/>
        <v>6.4220000000000013E-2</v>
      </c>
      <c r="M167" s="91">
        <v>40</v>
      </c>
      <c r="N167" s="1">
        <v>0</v>
      </c>
      <c r="O167" s="83">
        <f t="shared" si="54"/>
        <v>0</v>
      </c>
    </row>
    <row r="168" spans="1:15" ht="15" customHeight="1" x14ac:dyDescent="0.4">
      <c r="A168" s="100"/>
      <c r="B168">
        <v>6</v>
      </c>
      <c r="C168" s="30">
        <v>40</v>
      </c>
      <c r="D168" s="31">
        <v>3</v>
      </c>
      <c r="E168" s="31">
        <f t="shared" si="60"/>
        <v>120</v>
      </c>
      <c r="F168" s="31">
        <v>18</v>
      </c>
      <c r="G168" s="31">
        <v>120</v>
      </c>
      <c r="H168" s="31">
        <v>40</v>
      </c>
      <c r="I168">
        <v>40</v>
      </c>
      <c r="J168" s="31">
        <v>128.00790000000001</v>
      </c>
      <c r="K168" s="31">
        <f t="shared" si="61"/>
        <v>0</v>
      </c>
      <c r="L168" s="31">
        <f t="shared" si="62"/>
        <v>6.6732500000000056E-2</v>
      </c>
      <c r="M168" s="91">
        <v>40</v>
      </c>
      <c r="N168" s="1">
        <v>0</v>
      </c>
      <c r="O168" s="83">
        <f t="shared" si="54"/>
        <v>0</v>
      </c>
    </row>
    <row r="169" spans="1:15" ht="15" customHeight="1" x14ac:dyDescent="0.4">
      <c r="A169" s="100"/>
      <c r="B169" s="77" t="s">
        <v>72</v>
      </c>
      <c r="C169" s="78">
        <f>SUM(C163:C168)</f>
        <v>240</v>
      </c>
      <c r="D169" s="79" t="s">
        <v>73</v>
      </c>
      <c r="E169" s="79">
        <f>SUM(E163:E168)</f>
        <v>720</v>
      </c>
      <c r="F169" s="79" t="s">
        <v>73</v>
      </c>
      <c r="G169" s="79" t="s">
        <v>73</v>
      </c>
      <c r="H169" s="79" t="s">
        <v>73</v>
      </c>
      <c r="I169" s="78">
        <f>SUM(I163:I168)</f>
        <v>240</v>
      </c>
      <c r="J169" s="79">
        <f>SUM(J163:J168)</f>
        <v>772.4195000000002</v>
      </c>
      <c r="K169" s="50"/>
      <c r="L169" s="50"/>
      <c r="M169" s="89">
        <f>SUM(M163:M168)</f>
        <v>240</v>
      </c>
      <c r="N169" s="89">
        <f t="shared" ref="N169:O169" si="63">SUM(N163:N168)</f>
        <v>0</v>
      </c>
      <c r="O169" s="92">
        <f t="shared" si="63"/>
        <v>0</v>
      </c>
    </row>
    <row r="170" spans="1:15" ht="15" customHeight="1" x14ac:dyDescent="0.4">
      <c r="A170" s="100" t="s">
        <v>46</v>
      </c>
      <c r="B170" s="76">
        <v>1</v>
      </c>
      <c r="C170" s="30">
        <v>40</v>
      </c>
      <c r="D170" s="31">
        <v>3</v>
      </c>
      <c r="E170" s="31">
        <f t="shared" ref="E170:E184" si="64">C170*D170</f>
        <v>120</v>
      </c>
      <c r="F170" s="31">
        <v>18</v>
      </c>
      <c r="G170" s="31">
        <v>120</v>
      </c>
      <c r="H170" s="31">
        <v>40</v>
      </c>
      <c r="I170">
        <v>40</v>
      </c>
      <c r="J170" s="31">
        <v>126.7972</v>
      </c>
      <c r="K170" s="31">
        <f t="shared" ref="K170:K184" si="65">ABS((I170-C170)/C170)</f>
        <v>0</v>
      </c>
      <c r="L170" s="31">
        <f t="shared" ref="L170:L184" si="66">ABS((J170-E170)/E170)</f>
        <v>5.6643333333333365E-2</v>
      </c>
      <c r="M170" s="91">
        <v>40</v>
      </c>
      <c r="N170" s="1">
        <v>0</v>
      </c>
      <c r="O170" s="83">
        <f t="shared" si="54"/>
        <v>0</v>
      </c>
    </row>
    <row r="171" spans="1:15" ht="15" customHeight="1" x14ac:dyDescent="0.4">
      <c r="A171" s="100"/>
      <c r="B171">
        <v>2</v>
      </c>
      <c r="C171" s="30">
        <v>40</v>
      </c>
      <c r="D171" s="31">
        <v>3</v>
      </c>
      <c r="E171" s="31">
        <f t="shared" si="64"/>
        <v>120</v>
      </c>
      <c r="F171" s="31">
        <v>18</v>
      </c>
      <c r="G171" s="31">
        <v>120</v>
      </c>
      <c r="H171" s="31">
        <v>40</v>
      </c>
      <c r="I171">
        <v>40</v>
      </c>
      <c r="J171" s="31">
        <v>127.1815</v>
      </c>
      <c r="K171" s="31">
        <f t="shared" si="65"/>
        <v>0</v>
      </c>
      <c r="L171" s="31">
        <f t="shared" si="66"/>
        <v>5.9845833333333334E-2</v>
      </c>
      <c r="M171" s="91">
        <v>40</v>
      </c>
      <c r="N171" s="1">
        <v>0</v>
      </c>
      <c r="O171" s="83">
        <f t="shared" si="54"/>
        <v>0</v>
      </c>
    </row>
    <row r="172" spans="1:15" ht="15" customHeight="1" x14ac:dyDescent="0.4">
      <c r="A172" s="100"/>
      <c r="B172">
        <v>3</v>
      </c>
      <c r="C172" s="30">
        <v>40</v>
      </c>
      <c r="D172" s="31">
        <v>3</v>
      </c>
      <c r="E172" s="31">
        <f t="shared" si="64"/>
        <v>120</v>
      </c>
      <c r="F172" s="31">
        <v>18</v>
      </c>
      <c r="G172" s="31">
        <v>120</v>
      </c>
      <c r="H172" s="31">
        <v>40</v>
      </c>
      <c r="I172">
        <v>42</v>
      </c>
      <c r="J172" s="31">
        <v>134.52199999999999</v>
      </c>
      <c r="K172" s="31">
        <f t="shared" si="65"/>
        <v>0.05</v>
      </c>
      <c r="L172" s="31">
        <f t="shared" si="66"/>
        <v>0.12101666666666659</v>
      </c>
      <c r="M172" s="91">
        <v>40</v>
      </c>
      <c r="N172" s="1">
        <v>2</v>
      </c>
      <c r="O172" s="83">
        <f t="shared" si="54"/>
        <v>0</v>
      </c>
    </row>
    <row r="173" spans="1:15" ht="15" customHeight="1" x14ac:dyDescent="0.4">
      <c r="A173" s="100"/>
      <c r="B173">
        <v>4</v>
      </c>
      <c r="C173" s="30">
        <v>40</v>
      </c>
      <c r="D173" s="31">
        <v>3</v>
      </c>
      <c r="E173" s="31">
        <f t="shared" si="64"/>
        <v>120</v>
      </c>
      <c r="F173" s="31">
        <v>18</v>
      </c>
      <c r="G173" s="31">
        <v>120</v>
      </c>
      <c r="H173" s="31">
        <v>40</v>
      </c>
      <c r="I173">
        <v>40</v>
      </c>
      <c r="J173" s="31">
        <v>130.1859</v>
      </c>
      <c r="K173" s="31">
        <f t="shared" si="65"/>
        <v>0</v>
      </c>
      <c r="L173" s="31">
        <f t="shared" si="66"/>
        <v>8.4882500000000027E-2</v>
      </c>
      <c r="M173" s="91">
        <v>40</v>
      </c>
      <c r="N173" s="1">
        <v>0</v>
      </c>
      <c r="O173" s="83">
        <f t="shared" si="54"/>
        <v>0</v>
      </c>
    </row>
    <row r="174" spans="1:15" ht="15" customHeight="1" x14ac:dyDescent="0.4">
      <c r="A174" s="100"/>
      <c r="B174">
        <v>5</v>
      </c>
      <c r="C174" s="30">
        <v>40</v>
      </c>
      <c r="D174" s="31">
        <v>3</v>
      </c>
      <c r="E174" s="31">
        <f t="shared" si="64"/>
        <v>120</v>
      </c>
      <c r="F174" s="31">
        <v>18</v>
      </c>
      <c r="G174" s="31">
        <v>120</v>
      </c>
      <c r="H174" s="31">
        <v>40</v>
      </c>
      <c r="I174">
        <v>40</v>
      </c>
      <c r="J174" s="31">
        <v>131.1643</v>
      </c>
      <c r="K174" s="31">
        <f t="shared" si="65"/>
        <v>0</v>
      </c>
      <c r="L174" s="31">
        <f t="shared" si="66"/>
        <v>9.3035833333333304E-2</v>
      </c>
      <c r="M174" s="91">
        <v>40</v>
      </c>
      <c r="N174" s="1">
        <v>0</v>
      </c>
      <c r="O174" s="83">
        <f t="shared" si="54"/>
        <v>0</v>
      </c>
    </row>
    <row r="175" spans="1:15" ht="15" customHeight="1" x14ac:dyDescent="0.4">
      <c r="A175" s="100"/>
      <c r="B175">
        <v>6</v>
      </c>
      <c r="C175" s="30">
        <v>40</v>
      </c>
      <c r="D175" s="31">
        <v>3</v>
      </c>
      <c r="E175" s="31">
        <f t="shared" si="64"/>
        <v>120</v>
      </c>
      <c r="F175" s="31">
        <v>18</v>
      </c>
      <c r="G175" s="31">
        <v>120</v>
      </c>
      <c r="H175" s="31">
        <v>40</v>
      </c>
      <c r="I175">
        <v>40</v>
      </c>
      <c r="J175" s="31">
        <v>132.03039999999999</v>
      </c>
      <c r="K175" s="31">
        <f t="shared" si="65"/>
        <v>0</v>
      </c>
      <c r="L175" s="31">
        <f t="shared" si="66"/>
        <v>0.10025333333333322</v>
      </c>
      <c r="M175" s="91">
        <v>40</v>
      </c>
      <c r="N175" s="1">
        <v>0</v>
      </c>
      <c r="O175" s="83">
        <f t="shared" si="54"/>
        <v>0</v>
      </c>
    </row>
    <row r="176" spans="1:15" ht="15" customHeight="1" x14ac:dyDescent="0.4">
      <c r="A176" s="100"/>
      <c r="B176">
        <v>7</v>
      </c>
      <c r="C176" s="30">
        <v>40</v>
      </c>
      <c r="D176" s="31">
        <v>3</v>
      </c>
      <c r="E176" s="31">
        <f t="shared" si="64"/>
        <v>120</v>
      </c>
      <c r="F176" s="31">
        <v>18</v>
      </c>
      <c r="G176" s="31">
        <v>120</v>
      </c>
      <c r="H176" s="31">
        <v>40</v>
      </c>
      <c r="I176">
        <v>40</v>
      </c>
      <c r="J176" s="31">
        <v>130.5487</v>
      </c>
      <c r="K176" s="31">
        <f t="shared" si="65"/>
        <v>0</v>
      </c>
      <c r="L176" s="31">
        <f t="shared" si="66"/>
        <v>8.7905833333333308E-2</v>
      </c>
      <c r="M176" s="91">
        <v>40</v>
      </c>
      <c r="N176" s="1">
        <v>0</v>
      </c>
      <c r="O176" s="83">
        <f t="shared" si="54"/>
        <v>0</v>
      </c>
    </row>
    <row r="177" spans="1:15" ht="15" customHeight="1" x14ac:dyDescent="0.4">
      <c r="A177" s="100"/>
      <c r="B177">
        <v>8</v>
      </c>
      <c r="C177" s="30">
        <v>40</v>
      </c>
      <c r="D177" s="31">
        <v>3</v>
      </c>
      <c r="E177" s="31">
        <f t="shared" si="64"/>
        <v>120</v>
      </c>
      <c r="F177" s="31">
        <v>18</v>
      </c>
      <c r="G177" s="31">
        <v>120</v>
      </c>
      <c r="H177" s="31">
        <v>40</v>
      </c>
      <c r="I177">
        <v>40</v>
      </c>
      <c r="J177" s="31">
        <v>128.2062</v>
      </c>
      <c r="K177" s="31">
        <f t="shared" si="65"/>
        <v>0</v>
      </c>
      <c r="L177" s="31">
        <f t="shared" si="66"/>
        <v>6.838499999999996E-2</v>
      </c>
      <c r="M177" s="91">
        <v>40</v>
      </c>
      <c r="N177" s="1">
        <v>0</v>
      </c>
      <c r="O177" s="83">
        <f t="shared" si="54"/>
        <v>0</v>
      </c>
    </row>
    <row r="178" spans="1:15" ht="15" customHeight="1" x14ac:dyDescent="0.4">
      <c r="A178" s="100"/>
      <c r="B178">
        <v>9</v>
      </c>
      <c r="C178" s="30">
        <v>40</v>
      </c>
      <c r="D178" s="31">
        <v>3</v>
      </c>
      <c r="E178" s="31">
        <f t="shared" si="64"/>
        <v>120</v>
      </c>
      <c r="F178" s="31">
        <v>18</v>
      </c>
      <c r="G178" s="31">
        <v>120</v>
      </c>
      <c r="H178" s="31">
        <v>40</v>
      </c>
      <c r="I178">
        <v>41</v>
      </c>
      <c r="J178" s="31">
        <v>129.48419999999999</v>
      </c>
      <c r="K178" s="31">
        <f t="shared" si="65"/>
        <v>2.5000000000000001E-2</v>
      </c>
      <c r="L178" s="31">
        <f t="shared" si="66"/>
        <v>7.9034999999999897E-2</v>
      </c>
      <c r="M178" s="91">
        <v>40</v>
      </c>
      <c r="N178" s="1">
        <v>1</v>
      </c>
      <c r="O178" s="83">
        <f t="shared" si="54"/>
        <v>0</v>
      </c>
    </row>
    <row r="179" spans="1:15" ht="15" customHeight="1" x14ac:dyDescent="0.4">
      <c r="A179" s="100"/>
      <c r="B179" s="25">
        <v>10</v>
      </c>
      <c r="C179" s="30">
        <v>40</v>
      </c>
      <c r="D179" s="31">
        <v>3</v>
      </c>
      <c r="E179" s="31">
        <f t="shared" si="64"/>
        <v>120</v>
      </c>
      <c r="F179" s="31">
        <v>18</v>
      </c>
      <c r="G179" s="31">
        <v>120</v>
      </c>
      <c r="H179" s="31">
        <v>40</v>
      </c>
      <c r="I179">
        <v>40</v>
      </c>
      <c r="J179" s="31">
        <v>129.27070000000001</v>
      </c>
      <c r="K179" s="31">
        <f t="shared" si="65"/>
        <v>0</v>
      </c>
      <c r="L179" s="31">
        <f t="shared" si="66"/>
        <v>7.7255833333333371E-2</v>
      </c>
      <c r="M179" s="91">
        <v>40</v>
      </c>
      <c r="N179" s="1">
        <v>0</v>
      </c>
      <c r="O179" s="83">
        <f t="shared" si="54"/>
        <v>0</v>
      </c>
    </row>
    <row r="180" spans="1:15" ht="15" customHeight="1" x14ac:dyDescent="0.4">
      <c r="A180" s="100"/>
      <c r="B180">
        <v>11</v>
      </c>
      <c r="C180" s="30">
        <v>40</v>
      </c>
      <c r="D180" s="31">
        <v>3</v>
      </c>
      <c r="E180" s="31">
        <f t="shared" si="64"/>
        <v>120</v>
      </c>
      <c r="F180" s="31">
        <v>18</v>
      </c>
      <c r="G180" s="31">
        <v>120</v>
      </c>
      <c r="H180" s="31">
        <v>40</v>
      </c>
      <c r="I180">
        <v>40</v>
      </c>
      <c r="J180" s="31">
        <v>131.42850000000001</v>
      </c>
      <c r="K180" s="31">
        <f t="shared" si="65"/>
        <v>0</v>
      </c>
      <c r="L180" s="31">
        <f t="shared" si="66"/>
        <v>9.5237500000000114E-2</v>
      </c>
      <c r="M180" s="91">
        <v>40</v>
      </c>
      <c r="N180" s="1">
        <v>0</v>
      </c>
      <c r="O180" s="83">
        <f t="shared" si="54"/>
        <v>0</v>
      </c>
    </row>
    <row r="181" spans="1:15" ht="15" customHeight="1" x14ac:dyDescent="0.4">
      <c r="A181" s="100"/>
      <c r="B181">
        <v>12</v>
      </c>
      <c r="C181" s="30">
        <v>40</v>
      </c>
      <c r="D181" s="31">
        <v>3</v>
      </c>
      <c r="E181" s="31">
        <f t="shared" si="64"/>
        <v>120</v>
      </c>
      <c r="F181" s="31">
        <v>18</v>
      </c>
      <c r="G181" s="31">
        <v>120</v>
      </c>
      <c r="H181" s="31">
        <v>40</v>
      </c>
      <c r="I181">
        <v>40</v>
      </c>
      <c r="J181" s="31">
        <v>128.90299999999999</v>
      </c>
      <c r="K181" s="31">
        <f t="shared" si="65"/>
        <v>0</v>
      </c>
      <c r="L181" s="31">
        <f t="shared" si="66"/>
        <v>7.41916666666666E-2</v>
      </c>
      <c r="M181" s="91">
        <v>40</v>
      </c>
      <c r="N181" s="1">
        <v>0</v>
      </c>
      <c r="O181" s="83">
        <f t="shared" si="54"/>
        <v>0</v>
      </c>
    </row>
    <row r="182" spans="1:15" ht="15" customHeight="1" x14ac:dyDescent="0.4">
      <c r="A182" s="100"/>
      <c r="B182">
        <v>13</v>
      </c>
      <c r="C182" s="30">
        <v>40</v>
      </c>
      <c r="D182" s="31">
        <v>3</v>
      </c>
      <c r="E182" s="31">
        <f t="shared" si="64"/>
        <v>120</v>
      </c>
      <c r="F182" s="31">
        <v>18</v>
      </c>
      <c r="G182" s="31">
        <v>120</v>
      </c>
      <c r="H182" s="31">
        <v>40</v>
      </c>
      <c r="I182">
        <v>41</v>
      </c>
      <c r="J182" s="31">
        <v>131.1328</v>
      </c>
      <c r="K182" s="31">
        <f t="shared" si="65"/>
        <v>2.5000000000000001E-2</v>
      </c>
      <c r="L182" s="31">
        <f t="shared" si="66"/>
        <v>9.277333333333336E-2</v>
      </c>
      <c r="M182" s="91">
        <v>40</v>
      </c>
      <c r="N182" s="1">
        <v>1</v>
      </c>
      <c r="O182" s="83">
        <f t="shared" si="54"/>
        <v>0</v>
      </c>
    </row>
    <row r="183" spans="1:15" ht="15" customHeight="1" x14ac:dyDescent="0.4">
      <c r="A183" s="100"/>
      <c r="B183">
        <v>14</v>
      </c>
      <c r="C183" s="30">
        <v>40</v>
      </c>
      <c r="D183" s="31">
        <v>3</v>
      </c>
      <c r="E183" s="31">
        <f t="shared" si="64"/>
        <v>120</v>
      </c>
      <c r="F183" s="31">
        <v>18</v>
      </c>
      <c r="G183" s="31">
        <v>120</v>
      </c>
      <c r="H183" s="31">
        <v>40</v>
      </c>
      <c r="I183">
        <v>40</v>
      </c>
      <c r="J183" s="31">
        <v>130.44229999999999</v>
      </c>
      <c r="K183" s="31">
        <f t="shared" si="65"/>
        <v>0</v>
      </c>
      <c r="L183" s="31">
        <f t="shared" si="66"/>
        <v>8.7019166666666578E-2</v>
      </c>
      <c r="M183" s="91">
        <v>40</v>
      </c>
      <c r="N183" s="1">
        <v>0</v>
      </c>
      <c r="O183" s="83">
        <f t="shared" si="54"/>
        <v>0</v>
      </c>
    </row>
    <row r="184" spans="1:15" ht="15" customHeight="1" x14ac:dyDescent="0.4">
      <c r="A184" s="100"/>
      <c r="B184">
        <v>15</v>
      </c>
      <c r="C184" s="30">
        <v>40</v>
      </c>
      <c r="D184" s="31">
        <v>3</v>
      </c>
      <c r="E184" s="31">
        <f t="shared" si="64"/>
        <v>120</v>
      </c>
      <c r="F184" s="31">
        <v>18</v>
      </c>
      <c r="G184" s="31">
        <v>120</v>
      </c>
      <c r="H184" s="31">
        <v>40</v>
      </c>
      <c r="I184">
        <v>40</v>
      </c>
      <c r="J184" s="31">
        <v>131.23480000000001</v>
      </c>
      <c r="K184" s="31">
        <f t="shared" si="65"/>
        <v>0</v>
      </c>
      <c r="L184" s="31">
        <f t="shared" si="66"/>
        <v>9.3623333333333392E-2</v>
      </c>
      <c r="M184" s="91">
        <v>40</v>
      </c>
      <c r="N184" s="1">
        <v>0</v>
      </c>
      <c r="O184" s="83">
        <f t="shared" si="54"/>
        <v>0</v>
      </c>
    </row>
    <row r="185" spans="1:15" ht="15" customHeight="1" x14ac:dyDescent="0.4">
      <c r="A185" s="100"/>
      <c r="B185" s="77" t="s">
        <v>72</v>
      </c>
      <c r="C185" s="78">
        <f>SUM(C170:C184)</f>
        <v>600</v>
      </c>
      <c r="D185" s="79" t="s">
        <v>73</v>
      </c>
      <c r="E185" s="79">
        <f>SUM(E170:E184)</f>
        <v>1800</v>
      </c>
      <c r="F185" s="79" t="s">
        <v>73</v>
      </c>
      <c r="G185" s="79" t="s">
        <v>73</v>
      </c>
      <c r="H185" s="79" t="s">
        <v>73</v>
      </c>
      <c r="I185" s="78">
        <f>SUM(I170:I184)</f>
        <v>604</v>
      </c>
      <c r="J185" s="79">
        <f>SUM(J170:J184)</f>
        <v>1952.5325000000003</v>
      </c>
      <c r="K185" s="50"/>
      <c r="L185" s="93"/>
      <c r="M185" s="89">
        <f>SUM(M170:M184)</f>
        <v>600</v>
      </c>
      <c r="N185" s="89">
        <f t="shared" ref="N185:O185" si="67">SUM(N170:N184)</f>
        <v>4</v>
      </c>
      <c r="O185" s="92">
        <f t="shared" si="67"/>
        <v>0</v>
      </c>
    </row>
    <row r="186" spans="1:15" ht="15" customHeight="1" x14ac:dyDescent="0.4">
      <c r="A186" s="100" t="s">
        <v>49</v>
      </c>
      <c r="B186" s="76">
        <v>1</v>
      </c>
      <c r="C186" s="30">
        <v>40</v>
      </c>
      <c r="D186" s="31">
        <v>3</v>
      </c>
      <c r="E186" s="31">
        <f t="shared" ref="E186:E200" si="68">C186*D186</f>
        <v>120</v>
      </c>
      <c r="F186" s="31">
        <v>18</v>
      </c>
      <c r="G186" s="31">
        <v>120</v>
      </c>
      <c r="H186" s="31">
        <v>40</v>
      </c>
      <c r="I186">
        <v>40</v>
      </c>
      <c r="J186" s="31">
        <v>129.48859999999999</v>
      </c>
      <c r="K186" s="31">
        <f t="shared" ref="K186:K200" si="69">ABS((I186-C186)/C186)</f>
        <v>0</v>
      </c>
      <c r="L186" s="31">
        <f t="shared" ref="L186:L200" si="70">ABS((J186-E186)/E186)</f>
        <v>7.9071666666666596E-2</v>
      </c>
      <c r="M186" s="91">
        <v>40</v>
      </c>
      <c r="N186" s="1">
        <v>0</v>
      </c>
      <c r="O186" s="83">
        <f t="shared" si="54"/>
        <v>0</v>
      </c>
    </row>
    <row r="187" spans="1:15" ht="15" customHeight="1" x14ac:dyDescent="0.4">
      <c r="A187" s="100"/>
      <c r="B187">
        <v>2</v>
      </c>
      <c r="C187" s="30">
        <v>40</v>
      </c>
      <c r="D187" s="31">
        <v>3</v>
      </c>
      <c r="E187" s="31">
        <f t="shared" si="68"/>
        <v>120</v>
      </c>
      <c r="F187" s="31">
        <v>18</v>
      </c>
      <c r="G187" s="31">
        <v>120</v>
      </c>
      <c r="H187" s="31">
        <v>40</v>
      </c>
      <c r="I187">
        <v>41</v>
      </c>
      <c r="J187" s="31">
        <v>129.57239999999999</v>
      </c>
      <c r="K187" s="31">
        <f t="shared" si="69"/>
        <v>2.5000000000000001E-2</v>
      </c>
      <c r="L187" s="31">
        <f t="shared" si="70"/>
        <v>7.9769999999999897E-2</v>
      </c>
      <c r="M187" s="91">
        <v>40</v>
      </c>
      <c r="N187" s="1">
        <v>1</v>
      </c>
      <c r="O187" s="83">
        <f t="shared" si="54"/>
        <v>0</v>
      </c>
    </row>
    <row r="188" spans="1:15" ht="15" customHeight="1" x14ac:dyDescent="0.4">
      <c r="A188" s="100"/>
      <c r="B188">
        <v>3</v>
      </c>
      <c r="C188" s="30">
        <v>40</v>
      </c>
      <c r="D188" s="31">
        <v>3</v>
      </c>
      <c r="E188" s="31">
        <f t="shared" si="68"/>
        <v>120</v>
      </c>
      <c r="F188" s="31">
        <v>18</v>
      </c>
      <c r="G188" s="31">
        <v>120</v>
      </c>
      <c r="H188" s="31">
        <v>40</v>
      </c>
      <c r="I188">
        <v>39</v>
      </c>
      <c r="J188" s="31">
        <v>126.7116</v>
      </c>
      <c r="K188" s="31">
        <f t="shared" si="69"/>
        <v>2.5000000000000001E-2</v>
      </c>
      <c r="L188" s="31">
        <f t="shared" si="70"/>
        <v>5.5930000000000035E-2</v>
      </c>
      <c r="M188" s="91">
        <v>39</v>
      </c>
      <c r="N188" s="1">
        <v>0</v>
      </c>
      <c r="O188" s="83">
        <f t="shared" si="54"/>
        <v>1</v>
      </c>
    </row>
    <row r="189" spans="1:15" ht="15" customHeight="1" x14ac:dyDescent="0.4">
      <c r="A189" s="100"/>
      <c r="B189">
        <v>4</v>
      </c>
      <c r="C189" s="30">
        <v>40</v>
      </c>
      <c r="D189" s="31">
        <v>3</v>
      </c>
      <c r="E189" s="31">
        <f t="shared" si="68"/>
        <v>120</v>
      </c>
      <c r="F189" s="31">
        <v>18</v>
      </c>
      <c r="G189" s="31">
        <v>120</v>
      </c>
      <c r="H189" s="31">
        <v>40</v>
      </c>
      <c r="I189">
        <v>40</v>
      </c>
      <c r="J189" s="31">
        <v>130.06120000000001</v>
      </c>
      <c r="K189" s="31">
        <f t="shared" si="69"/>
        <v>0</v>
      </c>
      <c r="L189" s="31">
        <f t="shared" si="70"/>
        <v>8.384333333333345E-2</v>
      </c>
      <c r="M189" s="91">
        <v>40</v>
      </c>
      <c r="N189" s="1">
        <v>0</v>
      </c>
      <c r="O189" s="83">
        <f t="shared" si="54"/>
        <v>0</v>
      </c>
    </row>
    <row r="190" spans="1:15" ht="15" customHeight="1" x14ac:dyDescent="0.4">
      <c r="A190" s="100"/>
      <c r="B190">
        <v>5</v>
      </c>
      <c r="C190" s="30">
        <v>40</v>
      </c>
      <c r="D190" s="31">
        <v>3</v>
      </c>
      <c r="E190" s="31">
        <f t="shared" si="68"/>
        <v>120</v>
      </c>
      <c r="F190" s="31">
        <v>18</v>
      </c>
      <c r="G190" s="31">
        <v>120</v>
      </c>
      <c r="H190" s="31">
        <v>40</v>
      </c>
      <c r="I190">
        <v>39</v>
      </c>
      <c r="J190" s="31">
        <v>126.8539</v>
      </c>
      <c r="K190" s="31">
        <f t="shared" si="69"/>
        <v>2.5000000000000001E-2</v>
      </c>
      <c r="L190" s="31">
        <f t="shared" si="70"/>
        <v>5.7115833333333296E-2</v>
      </c>
      <c r="M190" s="91">
        <v>39</v>
      </c>
      <c r="N190" s="1">
        <v>0</v>
      </c>
      <c r="O190" s="83">
        <f t="shared" si="54"/>
        <v>1</v>
      </c>
    </row>
    <row r="191" spans="1:15" ht="15" customHeight="1" x14ac:dyDescent="0.4">
      <c r="A191" s="100"/>
      <c r="B191">
        <v>6</v>
      </c>
      <c r="C191" s="30">
        <v>40</v>
      </c>
      <c r="D191" s="31">
        <v>3</v>
      </c>
      <c r="E191" s="31">
        <f t="shared" si="68"/>
        <v>120</v>
      </c>
      <c r="F191" s="31">
        <v>18</v>
      </c>
      <c r="G191" s="31">
        <v>120</v>
      </c>
      <c r="H191" s="31">
        <v>40</v>
      </c>
      <c r="I191">
        <v>40</v>
      </c>
      <c r="J191" s="31">
        <v>129.77789999999999</v>
      </c>
      <c r="K191" s="31">
        <f t="shared" si="69"/>
        <v>0</v>
      </c>
      <c r="L191" s="31">
        <f t="shared" si="70"/>
        <v>8.1482499999999902E-2</v>
      </c>
      <c r="M191" s="91">
        <v>40</v>
      </c>
      <c r="N191" s="1">
        <v>0</v>
      </c>
      <c r="O191" s="83">
        <f t="shared" si="54"/>
        <v>0</v>
      </c>
    </row>
    <row r="192" spans="1:15" ht="15" customHeight="1" x14ac:dyDescent="0.4">
      <c r="A192" s="100"/>
      <c r="B192">
        <v>7</v>
      </c>
      <c r="C192" s="30">
        <v>40</v>
      </c>
      <c r="D192" s="31">
        <v>3</v>
      </c>
      <c r="E192" s="31">
        <f t="shared" si="68"/>
        <v>120</v>
      </c>
      <c r="F192" s="31">
        <v>18</v>
      </c>
      <c r="G192" s="31">
        <v>120</v>
      </c>
      <c r="H192" s="31">
        <v>40</v>
      </c>
      <c r="I192">
        <v>40</v>
      </c>
      <c r="J192" s="31">
        <v>127.7146</v>
      </c>
      <c r="K192" s="31">
        <f t="shared" si="69"/>
        <v>0</v>
      </c>
      <c r="L192" s="31">
        <f t="shared" si="70"/>
        <v>6.4288333333333364E-2</v>
      </c>
      <c r="M192" s="91">
        <v>40</v>
      </c>
      <c r="N192" s="1">
        <v>0</v>
      </c>
      <c r="O192" s="83">
        <f t="shared" ref="O192:O216" si="71">(C192-M192)</f>
        <v>0</v>
      </c>
    </row>
    <row r="193" spans="1:15" ht="15" customHeight="1" x14ac:dyDescent="0.4">
      <c r="A193" s="100"/>
      <c r="B193">
        <v>8</v>
      </c>
      <c r="C193" s="30">
        <v>40</v>
      </c>
      <c r="D193" s="31">
        <v>3</v>
      </c>
      <c r="E193" s="31">
        <f t="shared" si="68"/>
        <v>120</v>
      </c>
      <c r="F193" s="31">
        <v>18</v>
      </c>
      <c r="G193" s="31">
        <v>120</v>
      </c>
      <c r="H193" s="31">
        <v>40</v>
      </c>
      <c r="I193">
        <v>41</v>
      </c>
      <c r="J193" s="31">
        <v>132.9579</v>
      </c>
      <c r="K193" s="31">
        <f t="shared" si="69"/>
        <v>2.5000000000000001E-2</v>
      </c>
      <c r="L193" s="31">
        <f t="shared" si="70"/>
        <v>0.10798249999999995</v>
      </c>
      <c r="M193" s="91">
        <v>40</v>
      </c>
      <c r="N193" s="1">
        <v>1</v>
      </c>
      <c r="O193" s="83">
        <f t="shared" si="71"/>
        <v>0</v>
      </c>
    </row>
    <row r="194" spans="1:15" ht="15" customHeight="1" x14ac:dyDescent="0.4">
      <c r="A194" s="100"/>
      <c r="B194">
        <v>9</v>
      </c>
      <c r="C194" s="30">
        <v>40</v>
      </c>
      <c r="D194" s="31">
        <v>3</v>
      </c>
      <c r="E194" s="31">
        <f t="shared" si="68"/>
        <v>120</v>
      </c>
      <c r="F194" s="31">
        <v>18</v>
      </c>
      <c r="G194" s="31">
        <v>120</v>
      </c>
      <c r="H194" s="31">
        <v>40</v>
      </c>
      <c r="I194">
        <v>40</v>
      </c>
      <c r="J194" s="31">
        <v>130.77340000000001</v>
      </c>
      <c r="K194" s="31">
        <f t="shared" si="69"/>
        <v>0</v>
      </c>
      <c r="L194" s="31">
        <f t="shared" si="70"/>
        <v>8.9778333333333418E-2</v>
      </c>
      <c r="M194" s="91">
        <v>40</v>
      </c>
      <c r="N194" s="1">
        <v>0</v>
      </c>
      <c r="O194" s="83">
        <f t="shared" si="71"/>
        <v>0</v>
      </c>
    </row>
    <row r="195" spans="1:15" ht="15" customHeight="1" x14ac:dyDescent="0.4">
      <c r="A195" s="100"/>
      <c r="B195" s="25">
        <v>10</v>
      </c>
      <c r="C195" s="30">
        <v>40</v>
      </c>
      <c r="D195" s="31">
        <v>3</v>
      </c>
      <c r="E195" s="31">
        <f t="shared" si="68"/>
        <v>120</v>
      </c>
      <c r="F195" s="31">
        <v>18</v>
      </c>
      <c r="G195" s="31">
        <v>120</v>
      </c>
      <c r="H195" s="31">
        <v>40</v>
      </c>
      <c r="I195">
        <v>40</v>
      </c>
      <c r="J195" s="31">
        <v>132.3587</v>
      </c>
      <c r="K195" s="31">
        <f t="shared" si="69"/>
        <v>0</v>
      </c>
      <c r="L195" s="31">
        <f t="shared" si="70"/>
        <v>0.10298916666666666</v>
      </c>
      <c r="M195" s="91">
        <v>40</v>
      </c>
      <c r="N195" s="1">
        <v>0</v>
      </c>
      <c r="O195" s="83">
        <f t="shared" si="71"/>
        <v>0</v>
      </c>
    </row>
    <row r="196" spans="1:15" ht="15" customHeight="1" x14ac:dyDescent="0.4">
      <c r="A196" s="100"/>
      <c r="B196">
        <v>11</v>
      </c>
      <c r="C196" s="30">
        <v>40</v>
      </c>
      <c r="D196" s="31">
        <v>3</v>
      </c>
      <c r="E196" s="31">
        <f t="shared" si="68"/>
        <v>120</v>
      </c>
      <c r="F196" s="31">
        <v>18</v>
      </c>
      <c r="G196" s="31">
        <v>120</v>
      </c>
      <c r="H196" s="31">
        <v>40</v>
      </c>
      <c r="I196">
        <v>40</v>
      </c>
      <c r="J196" s="31">
        <v>130.459</v>
      </c>
      <c r="K196" s="31">
        <f t="shared" si="69"/>
        <v>0</v>
      </c>
      <c r="L196" s="31">
        <f t="shared" si="70"/>
        <v>8.7158333333333365E-2</v>
      </c>
      <c r="M196" s="91">
        <v>40</v>
      </c>
      <c r="N196" s="1">
        <v>0</v>
      </c>
      <c r="O196" s="83">
        <f t="shared" si="71"/>
        <v>0</v>
      </c>
    </row>
    <row r="197" spans="1:15" ht="15" customHeight="1" x14ac:dyDescent="0.4">
      <c r="A197" s="100"/>
      <c r="B197">
        <v>12</v>
      </c>
      <c r="C197" s="30">
        <v>40</v>
      </c>
      <c r="D197" s="31">
        <v>3</v>
      </c>
      <c r="E197" s="31">
        <f t="shared" si="68"/>
        <v>120</v>
      </c>
      <c r="F197" s="31">
        <v>18</v>
      </c>
      <c r="G197" s="31">
        <v>120</v>
      </c>
      <c r="H197" s="31">
        <v>40</v>
      </c>
      <c r="I197">
        <v>41</v>
      </c>
      <c r="J197" s="31">
        <v>131.6567</v>
      </c>
      <c r="K197" s="31">
        <f t="shared" si="69"/>
        <v>2.5000000000000001E-2</v>
      </c>
      <c r="L197" s="31">
        <f t="shared" si="70"/>
        <v>9.7139166666666679E-2</v>
      </c>
      <c r="M197" s="91">
        <v>40</v>
      </c>
      <c r="N197" s="1">
        <v>1</v>
      </c>
      <c r="O197" s="83">
        <f t="shared" si="71"/>
        <v>0</v>
      </c>
    </row>
    <row r="198" spans="1:15" ht="15" customHeight="1" x14ac:dyDescent="0.4">
      <c r="A198" s="100"/>
      <c r="B198">
        <v>13</v>
      </c>
      <c r="C198" s="30">
        <v>40</v>
      </c>
      <c r="D198" s="31">
        <v>3</v>
      </c>
      <c r="E198" s="31">
        <f t="shared" si="68"/>
        <v>120</v>
      </c>
      <c r="F198" s="31">
        <v>18</v>
      </c>
      <c r="G198" s="31">
        <v>120</v>
      </c>
      <c r="H198" s="31">
        <v>40</v>
      </c>
      <c r="I198">
        <v>39</v>
      </c>
      <c r="J198" s="31">
        <v>128.3914</v>
      </c>
      <c r="K198" s="31">
        <f t="shared" si="69"/>
        <v>2.5000000000000001E-2</v>
      </c>
      <c r="L198" s="31">
        <f t="shared" si="70"/>
        <v>6.992833333333337E-2</v>
      </c>
      <c r="M198" s="91">
        <v>39</v>
      </c>
      <c r="N198" s="1">
        <v>0</v>
      </c>
      <c r="O198" s="83">
        <f t="shared" si="71"/>
        <v>1</v>
      </c>
    </row>
    <row r="199" spans="1:15" ht="15" customHeight="1" x14ac:dyDescent="0.4">
      <c r="A199" s="100"/>
      <c r="B199">
        <v>14</v>
      </c>
      <c r="C199" s="30">
        <v>40</v>
      </c>
      <c r="D199" s="31">
        <v>3</v>
      </c>
      <c r="E199" s="31">
        <f t="shared" si="68"/>
        <v>120</v>
      </c>
      <c r="F199" s="31">
        <v>18</v>
      </c>
      <c r="G199" s="31">
        <v>120</v>
      </c>
      <c r="H199" s="31">
        <v>40</v>
      </c>
      <c r="I199">
        <v>40</v>
      </c>
      <c r="J199" s="31">
        <v>132.0504</v>
      </c>
      <c r="K199" s="31">
        <f t="shared" si="69"/>
        <v>0</v>
      </c>
      <c r="L199" s="31">
        <f t="shared" si="70"/>
        <v>0.10041999999999997</v>
      </c>
      <c r="M199" s="91">
        <v>40</v>
      </c>
      <c r="N199" s="1">
        <v>0</v>
      </c>
      <c r="O199" s="83">
        <f t="shared" si="71"/>
        <v>0</v>
      </c>
    </row>
    <row r="200" spans="1:15" ht="15" customHeight="1" x14ac:dyDescent="0.4">
      <c r="A200" s="100"/>
      <c r="B200">
        <v>15</v>
      </c>
      <c r="C200" s="30">
        <v>40</v>
      </c>
      <c r="D200" s="31">
        <v>3</v>
      </c>
      <c r="E200" s="31">
        <f t="shared" si="68"/>
        <v>120</v>
      </c>
      <c r="F200" s="31">
        <v>18</v>
      </c>
      <c r="G200" s="31">
        <v>120</v>
      </c>
      <c r="H200" s="31">
        <v>40</v>
      </c>
      <c r="I200">
        <v>41</v>
      </c>
      <c r="J200" s="31">
        <v>132.4967</v>
      </c>
      <c r="K200" s="31">
        <f t="shared" si="69"/>
        <v>2.5000000000000001E-2</v>
      </c>
      <c r="L200" s="31">
        <f t="shared" si="70"/>
        <v>0.1041391666666667</v>
      </c>
      <c r="M200" s="91">
        <v>40</v>
      </c>
      <c r="N200" s="1">
        <v>1</v>
      </c>
      <c r="O200" s="83">
        <f t="shared" si="71"/>
        <v>0</v>
      </c>
    </row>
    <row r="201" spans="1:15" ht="15" customHeight="1" x14ac:dyDescent="0.4">
      <c r="A201" s="100"/>
      <c r="B201" s="77" t="s">
        <v>72</v>
      </c>
      <c r="C201" s="78">
        <f>SUM(C186:C200)</f>
        <v>600</v>
      </c>
      <c r="D201" s="79" t="s">
        <v>73</v>
      </c>
      <c r="E201" s="79">
        <f>SUM(E186:E200)</f>
        <v>1800</v>
      </c>
      <c r="F201" s="79" t="s">
        <v>73</v>
      </c>
      <c r="G201" s="79" t="s">
        <v>73</v>
      </c>
      <c r="H201" s="79" t="s">
        <v>73</v>
      </c>
      <c r="I201" s="78">
        <f>SUM(I186:I200)</f>
        <v>601</v>
      </c>
      <c r="J201" s="79">
        <f>SUM(J186:J200)</f>
        <v>1951.3244000000002</v>
      </c>
      <c r="K201" s="50"/>
      <c r="L201" s="93"/>
      <c r="M201" s="89">
        <f>SUM(M186:M200)</f>
        <v>597</v>
      </c>
      <c r="N201" s="89">
        <f t="shared" ref="N201:O201" si="72">SUM(N186:N200)</f>
        <v>4</v>
      </c>
      <c r="O201" s="92">
        <f t="shared" si="72"/>
        <v>3</v>
      </c>
    </row>
    <row r="202" spans="1:15" ht="15" customHeight="1" x14ac:dyDescent="0.4">
      <c r="A202" s="100" t="s">
        <v>50</v>
      </c>
      <c r="B202" s="76">
        <v>1</v>
      </c>
      <c r="C202" s="30">
        <v>40</v>
      </c>
      <c r="D202" s="31">
        <v>3</v>
      </c>
      <c r="E202" s="31">
        <f t="shared" ref="E202:E209" si="73">C202*D202</f>
        <v>120</v>
      </c>
      <c r="F202" s="31">
        <v>18</v>
      </c>
      <c r="G202" s="31">
        <v>120</v>
      </c>
      <c r="H202" s="31">
        <v>40</v>
      </c>
      <c r="I202">
        <v>40</v>
      </c>
      <c r="J202" s="31">
        <v>129.62139999999999</v>
      </c>
      <c r="K202" s="31">
        <f t="shared" ref="K202:K209" si="74">ABS((I202-C202)/C202)</f>
        <v>0</v>
      </c>
      <c r="L202" s="31">
        <f t="shared" ref="L202:L209" si="75">ABS((J202-E202)/E202)</f>
        <v>8.0178333333333282E-2</v>
      </c>
      <c r="M202" s="91">
        <v>40</v>
      </c>
      <c r="N202" s="1">
        <v>0</v>
      </c>
      <c r="O202" s="83">
        <f t="shared" si="71"/>
        <v>0</v>
      </c>
    </row>
    <row r="203" spans="1:15" ht="15" customHeight="1" x14ac:dyDescent="0.4">
      <c r="A203" s="100"/>
      <c r="B203">
        <v>2</v>
      </c>
      <c r="C203" s="30">
        <v>80</v>
      </c>
      <c r="D203" s="31">
        <v>3</v>
      </c>
      <c r="E203" s="31">
        <f t="shared" si="73"/>
        <v>240</v>
      </c>
      <c r="F203" s="31">
        <v>18</v>
      </c>
      <c r="G203" s="31">
        <v>120</v>
      </c>
      <c r="H203" s="31">
        <v>40</v>
      </c>
      <c r="I203">
        <v>80</v>
      </c>
      <c r="J203" s="31">
        <v>259.54219999999998</v>
      </c>
      <c r="K203" s="31">
        <f t="shared" si="74"/>
        <v>0</v>
      </c>
      <c r="L203" s="31">
        <f t="shared" si="75"/>
        <v>8.1425833333333253E-2</v>
      </c>
      <c r="M203" s="91">
        <v>80</v>
      </c>
      <c r="N203" s="1">
        <v>0</v>
      </c>
      <c r="O203" s="83">
        <f t="shared" si="71"/>
        <v>0</v>
      </c>
    </row>
    <row r="204" spans="1:15" ht="15" customHeight="1" x14ac:dyDescent="0.4">
      <c r="A204" s="100"/>
      <c r="B204">
        <v>3</v>
      </c>
      <c r="C204" s="30">
        <v>80</v>
      </c>
      <c r="D204" s="31">
        <v>3</v>
      </c>
      <c r="E204" s="31">
        <f t="shared" si="73"/>
        <v>240</v>
      </c>
      <c r="F204" s="31">
        <v>18</v>
      </c>
      <c r="G204" s="31">
        <v>120</v>
      </c>
      <c r="H204" s="31">
        <v>40</v>
      </c>
      <c r="I204">
        <v>80</v>
      </c>
      <c r="J204" s="31">
        <v>258.32870000000003</v>
      </c>
      <c r="K204" s="31">
        <f t="shared" si="74"/>
        <v>0</v>
      </c>
      <c r="L204" s="31">
        <f t="shared" si="75"/>
        <v>7.6369583333333449E-2</v>
      </c>
      <c r="M204" s="91">
        <v>80</v>
      </c>
      <c r="N204" s="1">
        <v>0</v>
      </c>
      <c r="O204" s="83">
        <f t="shared" si="71"/>
        <v>0</v>
      </c>
    </row>
    <row r="205" spans="1:15" ht="15" customHeight="1" x14ac:dyDescent="0.4">
      <c r="A205" s="100"/>
      <c r="B205">
        <v>4</v>
      </c>
      <c r="C205" s="30">
        <v>40</v>
      </c>
      <c r="D205" s="31">
        <v>3</v>
      </c>
      <c r="E205" s="31">
        <f t="shared" si="73"/>
        <v>120</v>
      </c>
      <c r="F205" s="31">
        <v>18</v>
      </c>
      <c r="G205" s="31">
        <v>120</v>
      </c>
      <c r="H205" s="31">
        <v>40</v>
      </c>
      <c r="I205">
        <v>40</v>
      </c>
      <c r="J205" s="31">
        <v>126.9435</v>
      </c>
      <c r="K205" s="31">
        <f t="shared" si="74"/>
        <v>0</v>
      </c>
      <c r="L205" s="31">
        <f t="shared" si="75"/>
        <v>5.7862500000000004E-2</v>
      </c>
      <c r="M205" s="91">
        <v>40</v>
      </c>
      <c r="N205" s="1">
        <v>0</v>
      </c>
      <c r="O205" s="83">
        <f t="shared" si="71"/>
        <v>0</v>
      </c>
    </row>
    <row r="206" spans="1:15" ht="15" customHeight="1" x14ac:dyDescent="0.4">
      <c r="A206" s="100"/>
      <c r="B206">
        <v>5</v>
      </c>
      <c r="C206" s="30">
        <v>160</v>
      </c>
      <c r="D206" s="31">
        <v>3</v>
      </c>
      <c r="E206" s="31">
        <f t="shared" si="73"/>
        <v>480</v>
      </c>
      <c r="F206" s="31">
        <v>18</v>
      </c>
      <c r="G206" s="31">
        <v>120</v>
      </c>
      <c r="H206" s="31">
        <v>40</v>
      </c>
      <c r="I206">
        <v>160</v>
      </c>
      <c r="J206" s="31">
        <v>512.28949999999998</v>
      </c>
      <c r="K206" s="31">
        <f t="shared" si="74"/>
        <v>0</v>
      </c>
      <c r="L206" s="31">
        <f t="shared" si="75"/>
        <v>6.726979166666662E-2</v>
      </c>
      <c r="M206" s="91">
        <v>160</v>
      </c>
      <c r="N206" s="1">
        <v>0</v>
      </c>
      <c r="O206" s="83">
        <f t="shared" si="71"/>
        <v>0</v>
      </c>
    </row>
    <row r="207" spans="1:15" ht="15" customHeight="1" x14ac:dyDescent="0.4">
      <c r="A207" s="100"/>
      <c r="B207">
        <v>6</v>
      </c>
      <c r="C207" s="30">
        <v>160</v>
      </c>
      <c r="D207" s="31">
        <v>3</v>
      </c>
      <c r="E207" s="31">
        <f t="shared" si="73"/>
        <v>480</v>
      </c>
      <c r="F207" s="31">
        <v>18</v>
      </c>
      <c r="G207" s="31">
        <v>120</v>
      </c>
      <c r="H207" s="31">
        <v>40</v>
      </c>
      <c r="I207">
        <v>159</v>
      </c>
      <c r="J207" s="31">
        <v>514.50160000000005</v>
      </c>
      <c r="K207" s="31">
        <f t="shared" si="74"/>
        <v>6.2500000000000003E-3</v>
      </c>
      <c r="L207" s="31">
        <f t="shared" si="75"/>
        <v>7.1878333333333447E-2</v>
      </c>
      <c r="M207" s="91">
        <v>159</v>
      </c>
      <c r="N207" s="1">
        <v>0</v>
      </c>
      <c r="O207" s="83">
        <f t="shared" si="71"/>
        <v>1</v>
      </c>
    </row>
    <row r="208" spans="1:15" ht="15" customHeight="1" x14ac:dyDescent="0.4">
      <c r="A208" s="100"/>
      <c r="B208">
        <v>7</v>
      </c>
      <c r="C208" s="30">
        <v>90</v>
      </c>
      <c r="D208" s="31">
        <v>3</v>
      </c>
      <c r="E208" s="31">
        <f t="shared" si="73"/>
        <v>270</v>
      </c>
      <c r="F208" s="31">
        <v>18</v>
      </c>
      <c r="G208" s="31">
        <v>120</v>
      </c>
      <c r="H208" s="31">
        <v>40</v>
      </c>
      <c r="I208">
        <v>85</v>
      </c>
      <c r="J208" s="31">
        <v>274.5489</v>
      </c>
      <c r="K208" s="31">
        <f t="shared" si="74"/>
        <v>5.5555555555555552E-2</v>
      </c>
      <c r="L208" s="31">
        <f t="shared" si="75"/>
        <v>1.6847777777777791E-2</v>
      </c>
      <c r="M208" s="91">
        <v>85</v>
      </c>
      <c r="N208" s="1">
        <v>0</v>
      </c>
      <c r="O208" s="83">
        <f t="shared" si="71"/>
        <v>5</v>
      </c>
    </row>
    <row r="209" spans="1:18" ht="15" customHeight="1" x14ac:dyDescent="0.4">
      <c r="A209" s="100"/>
      <c r="B209">
        <v>8</v>
      </c>
      <c r="C209" s="30">
        <v>176</v>
      </c>
      <c r="D209" s="31">
        <v>3</v>
      </c>
      <c r="E209" s="31">
        <f t="shared" si="73"/>
        <v>528</v>
      </c>
      <c r="F209" s="31">
        <v>18</v>
      </c>
      <c r="G209" s="31">
        <v>120</v>
      </c>
      <c r="H209" s="31">
        <v>40</v>
      </c>
      <c r="I209">
        <v>174</v>
      </c>
      <c r="J209" s="31">
        <v>560.32960000000003</v>
      </c>
      <c r="K209" s="31">
        <f t="shared" si="74"/>
        <v>1.1363636363636364E-2</v>
      </c>
      <c r="L209" s="31">
        <f t="shared" si="75"/>
        <v>6.1230303030303079E-2</v>
      </c>
      <c r="M209" s="91">
        <v>174</v>
      </c>
      <c r="N209" s="1">
        <v>0</v>
      </c>
      <c r="O209" s="83">
        <f t="shared" si="71"/>
        <v>2</v>
      </c>
    </row>
    <row r="210" spans="1:18" ht="15" customHeight="1" x14ac:dyDescent="0.4">
      <c r="A210" s="100"/>
      <c r="B210" s="77" t="s">
        <v>72</v>
      </c>
      <c r="C210" s="78">
        <f>SUM(C202:C209)</f>
        <v>826</v>
      </c>
      <c r="D210" s="79" t="s">
        <v>73</v>
      </c>
      <c r="E210" s="79">
        <f>SUM(E202:E209)</f>
        <v>2478</v>
      </c>
      <c r="F210" s="79" t="s">
        <v>73</v>
      </c>
      <c r="G210" s="79" t="s">
        <v>73</v>
      </c>
      <c r="H210" s="79" t="s">
        <v>73</v>
      </c>
      <c r="I210" s="78">
        <f>SUM(I202:I209)</f>
        <v>818</v>
      </c>
      <c r="J210" s="79">
        <f>SUM(J202:J209)</f>
        <v>2636.1054000000004</v>
      </c>
      <c r="K210" s="50"/>
      <c r="L210" s="50"/>
      <c r="M210" s="89">
        <f>SUM(M202:M209)</f>
        <v>818</v>
      </c>
      <c r="N210" s="89">
        <f t="shared" ref="N210:O210" si="76">SUM(N202:N209)</f>
        <v>0</v>
      </c>
      <c r="O210" s="92">
        <f t="shared" si="76"/>
        <v>8</v>
      </c>
    </row>
    <row r="211" spans="1:18" x14ac:dyDescent="0.4">
      <c r="A211" s="101" t="s">
        <v>47</v>
      </c>
      <c r="B211">
        <v>1</v>
      </c>
      <c r="C211" s="30">
        <v>40</v>
      </c>
      <c r="D211" s="31">
        <v>3</v>
      </c>
      <c r="E211" s="31">
        <f t="shared" ref="E211:E216" si="77">C211*D211</f>
        <v>120</v>
      </c>
      <c r="F211" s="31">
        <v>18</v>
      </c>
      <c r="G211" s="31">
        <v>120</v>
      </c>
      <c r="H211" s="31">
        <v>40</v>
      </c>
      <c r="I211">
        <v>40</v>
      </c>
      <c r="J211" s="31">
        <v>128.74690000000001</v>
      </c>
      <c r="K211" s="31">
        <f t="shared" ref="K211:K216" si="78">ABS((I211-C211)/C211)</f>
        <v>0</v>
      </c>
      <c r="L211" s="32">
        <f t="shared" ref="L211:L216" si="79">ABS((J211-E211)/E211)</f>
        <v>7.2890833333333419E-2</v>
      </c>
      <c r="M211" s="91">
        <v>40</v>
      </c>
      <c r="N211" s="1">
        <v>0</v>
      </c>
      <c r="O211" s="83">
        <f t="shared" si="71"/>
        <v>0</v>
      </c>
    </row>
    <row r="212" spans="1:18" x14ac:dyDescent="0.4">
      <c r="A212" s="100"/>
      <c r="B212">
        <v>2</v>
      </c>
      <c r="C212" s="30">
        <v>40</v>
      </c>
      <c r="D212" s="31">
        <v>3</v>
      </c>
      <c r="E212" s="31">
        <f t="shared" si="77"/>
        <v>120</v>
      </c>
      <c r="F212" s="31">
        <v>18</v>
      </c>
      <c r="G212" s="31">
        <v>120</v>
      </c>
      <c r="H212" s="31">
        <v>40</v>
      </c>
      <c r="I212">
        <v>40</v>
      </c>
      <c r="J212" s="31">
        <v>129.0558</v>
      </c>
      <c r="K212" s="31">
        <f t="shared" si="78"/>
        <v>0</v>
      </c>
      <c r="L212" s="32">
        <f t="shared" si="79"/>
        <v>7.5465000000000046E-2</v>
      </c>
      <c r="M212" s="91">
        <v>40</v>
      </c>
      <c r="N212" s="1">
        <v>0</v>
      </c>
      <c r="O212" s="83">
        <f t="shared" si="71"/>
        <v>0</v>
      </c>
    </row>
    <row r="213" spans="1:18" x14ac:dyDescent="0.4">
      <c r="A213" s="100"/>
      <c r="B213">
        <v>3</v>
      </c>
      <c r="C213" s="30">
        <v>70</v>
      </c>
      <c r="D213" s="31">
        <v>3</v>
      </c>
      <c r="E213" s="31">
        <f t="shared" si="77"/>
        <v>210</v>
      </c>
      <c r="F213" s="31">
        <v>18</v>
      </c>
      <c r="G213" s="31">
        <v>120</v>
      </c>
      <c r="H213" s="31">
        <v>40</v>
      </c>
      <c r="I213">
        <v>63</v>
      </c>
      <c r="J213" s="31">
        <v>188.10830000000001</v>
      </c>
      <c r="K213" s="31">
        <f t="shared" si="78"/>
        <v>0.1</v>
      </c>
      <c r="L213" s="32">
        <f t="shared" si="79"/>
        <v>0.10424619047619041</v>
      </c>
      <c r="M213" s="91">
        <v>63</v>
      </c>
      <c r="N213" s="1">
        <v>0</v>
      </c>
      <c r="O213" s="83">
        <f t="shared" si="71"/>
        <v>7</v>
      </c>
    </row>
    <row r="214" spans="1:18" x14ac:dyDescent="0.4">
      <c r="A214" s="100"/>
      <c r="B214">
        <v>4</v>
      </c>
      <c r="C214" s="30">
        <v>60</v>
      </c>
      <c r="D214" s="31">
        <v>3</v>
      </c>
      <c r="E214" s="31">
        <f t="shared" si="77"/>
        <v>180</v>
      </c>
      <c r="F214" s="31">
        <v>18</v>
      </c>
      <c r="G214" s="31">
        <v>120</v>
      </c>
      <c r="H214" s="31">
        <v>40</v>
      </c>
      <c r="I214">
        <v>55</v>
      </c>
      <c r="J214" s="31">
        <v>158.43680000000001</v>
      </c>
      <c r="K214" s="31">
        <f t="shared" si="78"/>
        <v>8.3333333333333329E-2</v>
      </c>
      <c r="L214" s="32">
        <f t="shared" si="79"/>
        <v>0.11979555555555553</v>
      </c>
      <c r="M214" s="91">
        <v>55</v>
      </c>
      <c r="N214" s="1">
        <v>0</v>
      </c>
      <c r="O214" s="83">
        <f t="shared" si="71"/>
        <v>5</v>
      </c>
      <c r="P214" s="42"/>
    </row>
    <row r="215" spans="1:18" x14ac:dyDescent="0.4">
      <c r="A215" s="100"/>
      <c r="B215">
        <v>5</v>
      </c>
      <c r="C215" s="30">
        <v>60</v>
      </c>
      <c r="D215" s="31">
        <v>3</v>
      </c>
      <c r="E215" s="31">
        <f t="shared" si="77"/>
        <v>180</v>
      </c>
      <c r="F215" s="31">
        <v>18</v>
      </c>
      <c r="G215" s="31">
        <v>120</v>
      </c>
      <c r="H215" s="31">
        <v>40</v>
      </c>
      <c r="I215">
        <v>48</v>
      </c>
      <c r="J215" s="31">
        <v>142.43459999999999</v>
      </c>
      <c r="K215" s="31">
        <f t="shared" si="78"/>
        <v>0.2</v>
      </c>
      <c r="L215" s="32">
        <f t="shared" si="79"/>
        <v>0.20869666666666672</v>
      </c>
      <c r="M215" s="91">
        <v>48</v>
      </c>
      <c r="N215" s="1">
        <v>0</v>
      </c>
      <c r="O215" s="83">
        <f t="shared" si="71"/>
        <v>12</v>
      </c>
      <c r="P215" s="42"/>
    </row>
    <row r="216" spans="1:18" x14ac:dyDescent="0.4">
      <c r="A216" s="100"/>
      <c r="B216">
        <v>6</v>
      </c>
      <c r="C216" s="30">
        <v>60</v>
      </c>
      <c r="D216" s="31">
        <v>3</v>
      </c>
      <c r="E216" s="31">
        <f t="shared" si="77"/>
        <v>180</v>
      </c>
      <c r="F216" s="31">
        <v>18</v>
      </c>
      <c r="G216" s="31">
        <v>120</v>
      </c>
      <c r="H216" s="31">
        <v>40</v>
      </c>
      <c r="I216">
        <v>47</v>
      </c>
      <c r="J216" s="31">
        <v>133.73769999999999</v>
      </c>
      <c r="K216" s="31">
        <f t="shared" si="78"/>
        <v>0.21666666666666667</v>
      </c>
      <c r="L216" s="32">
        <f t="shared" si="79"/>
        <v>0.25701277777777781</v>
      </c>
      <c r="M216" s="91">
        <v>47</v>
      </c>
      <c r="N216" s="1">
        <v>0</v>
      </c>
      <c r="O216" s="83">
        <f t="shared" si="71"/>
        <v>13</v>
      </c>
      <c r="P216" s="42"/>
    </row>
    <row r="217" spans="1:18" x14ac:dyDescent="0.4">
      <c r="A217" s="100"/>
      <c r="B217" s="77" t="s">
        <v>72</v>
      </c>
      <c r="C217" s="78">
        <f>SUM(C211:C216)</f>
        <v>330</v>
      </c>
      <c r="D217" s="79" t="s">
        <v>73</v>
      </c>
      <c r="E217" s="79">
        <f>SUM(E211:E216)</f>
        <v>990</v>
      </c>
      <c r="F217" s="79" t="s">
        <v>73</v>
      </c>
      <c r="G217" s="79" t="s">
        <v>73</v>
      </c>
      <c r="H217" s="79" t="s">
        <v>73</v>
      </c>
      <c r="I217" s="78">
        <f>SUM(I211:I216)</f>
        <v>293</v>
      </c>
      <c r="J217" s="79">
        <f>SUM(J211:J216)</f>
        <v>880.52010000000007</v>
      </c>
      <c r="K217" s="50"/>
      <c r="L217" s="51"/>
      <c r="M217" s="89">
        <f>SUM(M211:M216)</f>
        <v>293</v>
      </c>
      <c r="N217" s="89">
        <f t="shared" ref="N217:O217" si="80">SUM(N211:N216)</f>
        <v>0</v>
      </c>
      <c r="O217" s="92">
        <f t="shared" si="80"/>
        <v>37</v>
      </c>
      <c r="P217" s="42"/>
    </row>
    <row r="218" spans="1:18" x14ac:dyDescent="0.4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</row>
    <row r="219" spans="1:18" ht="15" customHeight="1" x14ac:dyDescent="0.4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</row>
    <row r="220" spans="1:18" ht="15" customHeight="1" x14ac:dyDescent="0.4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</row>
    <row r="221" spans="1:18" ht="15" customHeight="1" x14ac:dyDescent="0.4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</row>
    <row r="222" spans="1:18" ht="15" customHeight="1" x14ac:dyDescent="0.4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</row>
    <row r="223" spans="1:18" ht="15" customHeight="1" x14ac:dyDescent="0.4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</row>
    <row r="224" spans="1:18" ht="15" customHeight="1" x14ac:dyDescent="0.4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</row>
    <row r="225" spans="1:18" ht="15" customHeight="1" x14ac:dyDescent="0.4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</row>
    <row r="226" spans="1:18" ht="15" customHeight="1" x14ac:dyDescent="0.4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</row>
    <row r="227" spans="1:18" ht="15" customHeight="1" x14ac:dyDescent="0.4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</row>
    <row r="228" spans="1:18" ht="15" customHeight="1" x14ac:dyDescent="0.4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</row>
    <row r="229" spans="1:18" ht="15" customHeight="1" x14ac:dyDescent="0.4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</row>
    <row r="230" spans="1:18" ht="15" customHeight="1" x14ac:dyDescent="0.4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</row>
    <row r="231" spans="1:18" ht="15" customHeight="1" x14ac:dyDescent="0.4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</row>
    <row r="232" spans="1:18" ht="15" customHeight="1" x14ac:dyDescent="0.4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</row>
    <row r="233" spans="1:18" ht="15" customHeight="1" x14ac:dyDescent="0.4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</row>
    <row r="234" spans="1:18" ht="15" customHeight="1" x14ac:dyDescent="0.4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</row>
    <row r="235" spans="1:18" ht="15" customHeight="1" x14ac:dyDescent="0.4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</row>
    <row r="236" spans="1:18" ht="15" customHeight="1" x14ac:dyDescent="0.4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</row>
    <row r="237" spans="1:18" ht="15" customHeight="1" x14ac:dyDescent="0.4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</row>
    <row r="238" spans="1:18" ht="15" customHeight="1" x14ac:dyDescent="0.4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</row>
    <row r="239" spans="1:18" ht="15" customHeight="1" x14ac:dyDescent="0.4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</row>
    <row r="240" spans="1:18" ht="15" customHeight="1" x14ac:dyDescent="0.4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</row>
    <row r="241" spans="1:18" ht="15" customHeight="1" x14ac:dyDescent="0.4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</row>
    <row r="242" spans="1:18" ht="15" customHeight="1" x14ac:dyDescent="0.4"/>
    <row r="243" spans="1:18" ht="15" customHeight="1" x14ac:dyDescent="0.4"/>
  </sheetData>
  <mergeCells count="26">
    <mergeCell ref="A211:A217"/>
    <mergeCell ref="A137:A162"/>
    <mergeCell ref="A163:A169"/>
    <mergeCell ref="A170:A185"/>
    <mergeCell ref="A186:A201"/>
    <mergeCell ref="A202:A210"/>
    <mergeCell ref="A96:A104"/>
    <mergeCell ref="A105:A108"/>
    <mergeCell ref="A109:A114"/>
    <mergeCell ref="A115:A124"/>
    <mergeCell ref="A125:A136"/>
    <mergeCell ref="A60:A61"/>
    <mergeCell ref="A64:A75"/>
    <mergeCell ref="A76:A83"/>
    <mergeCell ref="A84:A89"/>
    <mergeCell ref="A90:A95"/>
    <mergeCell ref="A39:A44"/>
    <mergeCell ref="A45:A46"/>
    <mergeCell ref="A47:A53"/>
    <mergeCell ref="A54:A57"/>
    <mergeCell ref="A58:A59"/>
    <mergeCell ref="A3:A9"/>
    <mergeCell ref="A10:A15"/>
    <mergeCell ref="A16:A23"/>
    <mergeCell ref="A24:A30"/>
    <mergeCell ref="A31:A38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Summary</vt:lpstr>
      <vt:lpstr>CI Method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Brett Fassler</dc:creator>
  <dc:description/>
  <cp:lastModifiedBy>Md. Rafi Islam</cp:lastModifiedBy>
  <cp:revision>0</cp:revision>
  <dcterms:created xsi:type="dcterms:W3CDTF">2015-06-05T18:17:20Z</dcterms:created>
  <dcterms:modified xsi:type="dcterms:W3CDTF">2026-08-21T02:46:55Z</dcterms:modified>
  <dc:language>en-US</dc:language>
</cp:coreProperties>
</file>