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esazonov\Documents\GitHub\FRIENDS\IEEE TIM data\LIFECYCLE TESTING\"/>
    </mc:Choice>
  </mc:AlternateContent>
  <xr:revisionPtr revIDLastSave="0" documentId="13_ncr:1_{0311D8D9-BE55-4850-9A29-3A5517A1EDE4}" xr6:coauthVersionLast="47" xr6:coauthVersionMax="47" xr10:uidLastSave="{00000000-0000-0000-0000-000000000000}"/>
  <bookViews>
    <workbookView xWindow="-25710" yWindow="-110" windowWidth="25820" windowHeight="13900" tabRatio="500" xr2:uid="{00000000-000D-0000-FFFF-FFFF00000000}"/>
  </bookViews>
  <sheets>
    <sheet name="Data Summary" sheetId="1" r:id="rId1"/>
    <sheet name="CI Method" sheetId="2" r:id="rId2"/>
    <sheet name="All Data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43" i="3" l="1"/>
  <c r="J243" i="3"/>
  <c r="D243" i="3"/>
  <c r="M242" i="3"/>
  <c r="L242" i="3"/>
  <c r="F242" i="3"/>
  <c r="L241" i="3"/>
  <c r="F241" i="3"/>
  <c r="M241" i="3" s="1"/>
  <c r="L240" i="3"/>
  <c r="F240" i="3"/>
  <c r="M240" i="3" s="1"/>
  <c r="L239" i="3"/>
  <c r="F239" i="3"/>
  <c r="M239" i="3" s="1"/>
  <c r="M238" i="3"/>
  <c r="L238" i="3"/>
  <c r="F238" i="3"/>
  <c r="F243" i="3" s="1"/>
  <c r="M237" i="3"/>
  <c r="L237" i="3"/>
  <c r="F237" i="3"/>
  <c r="K236" i="3"/>
  <c r="J236" i="3"/>
  <c r="D236" i="3"/>
  <c r="L235" i="3"/>
  <c r="F235" i="3"/>
  <c r="M235" i="3" s="1"/>
  <c r="M234" i="3"/>
  <c r="L234" i="3"/>
  <c r="F234" i="3"/>
  <c r="M233" i="3"/>
  <c r="L233" i="3"/>
  <c r="F233" i="3"/>
  <c r="M232" i="3"/>
  <c r="L232" i="3"/>
  <c r="F232" i="3"/>
  <c r="L231" i="3"/>
  <c r="F231" i="3"/>
  <c r="F236" i="3" s="1"/>
  <c r="M230" i="3"/>
  <c r="L230" i="3"/>
  <c r="F230" i="3"/>
  <c r="M229" i="3"/>
  <c r="L229" i="3"/>
  <c r="F229" i="3"/>
  <c r="J228" i="3"/>
  <c r="D228" i="3"/>
  <c r="L227" i="3"/>
  <c r="F227" i="3"/>
  <c r="M227" i="3" s="1"/>
  <c r="M226" i="3"/>
  <c r="L226" i="3"/>
  <c r="F226" i="3"/>
  <c r="M225" i="3"/>
  <c r="L225" i="3"/>
  <c r="F225" i="3"/>
  <c r="M224" i="3"/>
  <c r="L224" i="3"/>
  <c r="F224" i="3"/>
  <c r="L223" i="3"/>
  <c r="F223" i="3"/>
  <c r="F228" i="3" s="1"/>
  <c r="J222" i="3"/>
  <c r="D222" i="3"/>
  <c r="M221" i="3"/>
  <c r="L221" i="3"/>
  <c r="F221" i="3"/>
  <c r="M220" i="3"/>
  <c r="L220" i="3"/>
  <c r="F220" i="3"/>
  <c r="L219" i="3"/>
  <c r="F219" i="3"/>
  <c r="M219" i="3" s="1"/>
  <c r="K218" i="3"/>
  <c r="J218" i="3"/>
  <c r="D218" i="3"/>
  <c r="M217" i="3"/>
  <c r="L217" i="3"/>
  <c r="F217" i="3"/>
  <c r="L216" i="3"/>
  <c r="F216" i="3"/>
  <c r="M216" i="3" s="1"/>
  <c r="L215" i="3"/>
  <c r="F215" i="3"/>
  <c r="M215" i="3" s="1"/>
  <c r="L214" i="3"/>
  <c r="F214" i="3"/>
  <c r="F218" i="3" s="1"/>
  <c r="K210" i="3"/>
  <c r="J210" i="3"/>
  <c r="D210" i="3"/>
  <c r="L209" i="3"/>
  <c r="F209" i="3"/>
  <c r="M209" i="3" s="1"/>
  <c r="M208" i="3"/>
  <c r="L208" i="3"/>
  <c r="F208" i="3"/>
  <c r="M207" i="3"/>
  <c r="L207" i="3"/>
  <c r="F207" i="3"/>
  <c r="M206" i="3"/>
  <c r="L206" i="3"/>
  <c r="F206" i="3"/>
  <c r="M205" i="3"/>
  <c r="L205" i="3"/>
  <c r="F205" i="3"/>
  <c r="M204" i="3"/>
  <c r="L204" i="3"/>
  <c r="F204" i="3"/>
  <c r="L203" i="3"/>
  <c r="F203" i="3"/>
  <c r="M203" i="3" s="1"/>
  <c r="L202" i="3"/>
  <c r="F202" i="3"/>
  <c r="M202" i="3" s="1"/>
  <c r="K201" i="3"/>
  <c r="J201" i="3"/>
  <c r="D201" i="3"/>
  <c r="M200" i="3"/>
  <c r="L200" i="3"/>
  <c r="F200" i="3"/>
  <c r="L199" i="3"/>
  <c r="F199" i="3"/>
  <c r="M199" i="3" s="1"/>
  <c r="L198" i="3"/>
  <c r="F198" i="3"/>
  <c r="M198" i="3" s="1"/>
  <c r="L197" i="3"/>
  <c r="F197" i="3"/>
  <c r="M197" i="3" s="1"/>
  <c r="M196" i="3"/>
  <c r="L196" i="3"/>
  <c r="F196" i="3"/>
  <c r="M195" i="3"/>
  <c r="L195" i="3"/>
  <c r="F195" i="3"/>
  <c r="M194" i="3"/>
  <c r="L194" i="3"/>
  <c r="F194" i="3"/>
  <c r="L193" i="3"/>
  <c r="F193" i="3"/>
  <c r="M193" i="3" s="1"/>
  <c r="M192" i="3"/>
  <c r="L192" i="3"/>
  <c r="F192" i="3"/>
  <c r="L191" i="3"/>
  <c r="F191" i="3"/>
  <c r="M191" i="3" s="1"/>
  <c r="L190" i="3"/>
  <c r="F190" i="3"/>
  <c r="M190" i="3" s="1"/>
  <c r="L189" i="3"/>
  <c r="F189" i="3"/>
  <c r="M189" i="3" s="1"/>
  <c r="M188" i="3"/>
  <c r="L188" i="3"/>
  <c r="F188" i="3"/>
  <c r="M187" i="3"/>
  <c r="L187" i="3"/>
  <c r="F187" i="3"/>
  <c r="F201" i="3" s="1"/>
  <c r="M186" i="3"/>
  <c r="L186" i="3"/>
  <c r="F186" i="3"/>
  <c r="K185" i="3"/>
  <c r="J185" i="3"/>
  <c r="D185" i="3"/>
  <c r="M184" i="3"/>
  <c r="L184" i="3"/>
  <c r="F184" i="3"/>
  <c r="M183" i="3"/>
  <c r="L183" i="3"/>
  <c r="F183" i="3"/>
  <c r="L182" i="3"/>
  <c r="F182" i="3"/>
  <c r="M182" i="3" s="1"/>
  <c r="L181" i="3"/>
  <c r="F181" i="3"/>
  <c r="M181" i="3" s="1"/>
  <c r="L180" i="3"/>
  <c r="F180" i="3"/>
  <c r="M180" i="3" s="1"/>
  <c r="M179" i="3"/>
  <c r="L179" i="3"/>
  <c r="F179" i="3"/>
  <c r="M178" i="3"/>
  <c r="L178" i="3"/>
  <c r="F178" i="3"/>
  <c r="L177" i="3"/>
  <c r="F177" i="3"/>
  <c r="M177" i="3" s="1"/>
  <c r="M176" i="3"/>
  <c r="L176" i="3"/>
  <c r="F176" i="3"/>
  <c r="M175" i="3"/>
  <c r="L175" i="3"/>
  <c r="F175" i="3"/>
  <c r="L174" i="3"/>
  <c r="F174" i="3"/>
  <c r="M174" i="3" s="1"/>
  <c r="L173" i="3"/>
  <c r="F173" i="3"/>
  <c r="M173" i="3" s="1"/>
  <c r="L172" i="3"/>
  <c r="F172" i="3"/>
  <c r="F185" i="3" s="1"/>
  <c r="M171" i="3"/>
  <c r="L171" i="3"/>
  <c r="F171" i="3"/>
  <c r="M170" i="3"/>
  <c r="L170" i="3"/>
  <c r="F170" i="3"/>
  <c r="K169" i="3"/>
  <c r="J169" i="3"/>
  <c r="F169" i="3"/>
  <c r="D169" i="3"/>
  <c r="M168" i="3"/>
  <c r="L168" i="3"/>
  <c r="F168" i="3"/>
  <c r="M167" i="3"/>
  <c r="L167" i="3"/>
  <c r="F167" i="3"/>
  <c r="M166" i="3"/>
  <c r="L166" i="3"/>
  <c r="F166" i="3"/>
  <c r="M165" i="3"/>
  <c r="L165" i="3"/>
  <c r="F165" i="3"/>
  <c r="L164" i="3"/>
  <c r="F164" i="3"/>
  <c r="M164" i="3" s="1"/>
  <c r="L163" i="3"/>
  <c r="F163" i="3"/>
  <c r="M163" i="3" s="1"/>
  <c r="K162" i="3"/>
  <c r="J162" i="3"/>
  <c r="D162" i="3"/>
  <c r="M161" i="3"/>
  <c r="L161" i="3"/>
  <c r="F161" i="3"/>
  <c r="L160" i="3"/>
  <c r="F160" i="3"/>
  <c r="M160" i="3" s="1"/>
  <c r="L159" i="3"/>
  <c r="F159" i="3"/>
  <c r="M159" i="3" s="1"/>
  <c r="L158" i="3"/>
  <c r="F158" i="3"/>
  <c r="M158" i="3" s="1"/>
  <c r="M157" i="3"/>
  <c r="L157" i="3"/>
  <c r="F157" i="3"/>
  <c r="M156" i="3"/>
  <c r="L156" i="3"/>
  <c r="F156" i="3"/>
  <c r="M155" i="3"/>
  <c r="L155" i="3"/>
  <c r="F155" i="3"/>
  <c r="L154" i="3"/>
  <c r="F154" i="3"/>
  <c r="M154" i="3" s="1"/>
  <c r="M153" i="3"/>
  <c r="L153" i="3"/>
  <c r="F153" i="3"/>
  <c r="L152" i="3"/>
  <c r="F152" i="3"/>
  <c r="M152" i="3" s="1"/>
  <c r="L151" i="3"/>
  <c r="F151" i="3"/>
  <c r="M151" i="3" s="1"/>
  <c r="L150" i="3"/>
  <c r="F150" i="3"/>
  <c r="M150" i="3" s="1"/>
  <c r="M149" i="3"/>
  <c r="L149" i="3"/>
  <c r="F149" i="3"/>
  <c r="M148" i="3"/>
  <c r="L148" i="3"/>
  <c r="F148" i="3"/>
  <c r="M147" i="3"/>
  <c r="L147" i="3"/>
  <c r="F147" i="3"/>
  <c r="L146" i="3"/>
  <c r="F146" i="3"/>
  <c r="M146" i="3" s="1"/>
  <c r="M145" i="3"/>
  <c r="L145" i="3"/>
  <c r="F145" i="3"/>
  <c r="L144" i="3"/>
  <c r="F144" i="3"/>
  <c r="M144" i="3" s="1"/>
  <c r="L143" i="3"/>
  <c r="F143" i="3"/>
  <c r="M143" i="3" s="1"/>
  <c r="L142" i="3"/>
  <c r="F142" i="3"/>
  <c r="M142" i="3" s="1"/>
  <c r="M141" i="3"/>
  <c r="L141" i="3"/>
  <c r="F141" i="3"/>
  <c r="M140" i="3"/>
  <c r="L140" i="3"/>
  <c r="F140" i="3"/>
  <c r="M139" i="3"/>
  <c r="L139" i="3"/>
  <c r="F139" i="3"/>
  <c r="L138" i="3"/>
  <c r="F138" i="3"/>
  <c r="M138" i="3" s="1"/>
  <c r="M137" i="3"/>
  <c r="L137" i="3"/>
  <c r="F137" i="3"/>
  <c r="F162" i="3" s="1"/>
  <c r="K136" i="3"/>
  <c r="J136" i="3"/>
  <c r="D136" i="3"/>
  <c r="L135" i="3"/>
  <c r="F135" i="3"/>
  <c r="M135" i="3" s="1"/>
  <c r="L134" i="3"/>
  <c r="F134" i="3"/>
  <c r="M134" i="3" s="1"/>
  <c r="L133" i="3"/>
  <c r="F133" i="3"/>
  <c r="M133" i="3" s="1"/>
  <c r="M132" i="3"/>
  <c r="L132" i="3"/>
  <c r="F132" i="3"/>
  <c r="M131" i="3"/>
  <c r="L131" i="3"/>
  <c r="F131" i="3"/>
  <c r="L130" i="3"/>
  <c r="F130" i="3"/>
  <c r="M130" i="3" s="1"/>
  <c r="M129" i="3"/>
  <c r="L129" i="3"/>
  <c r="F129" i="3"/>
  <c r="M128" i="3"/>
  <c r="L128" i="3"/>
  <c r="F128" i="3"/>
  <c r="L127" i="3"/>
  <c r="F127" i="3"/>
  <c r="F136" i="3" s="1"/>
  <c r="L126" i="3"/>
  <c r="F126" i="3"/>
  <c r="M126" i="3" s="1"/>
  <c r="L125" i="3"/>
  <c r="F125" i="3"/>
  <c r="M125" i="3" s="1"/>
  <c r="K124" i="3"/>
  <c r="J124" i="3"/>
  <c r="D124" i="3"/>
  <c r="L123" i="3"/>
  <c r="F123" i="3"/>
  <c r="M123" i="3" s="1"/>
  <c r="M122" i="3"/>
  <c r="L122" i="3"/>
  <c r="F122" i="3"/>
  <c r="M121" i="3"/>
  <c r="L121" i="3"/>
  <c r="F121" i="3"/>
  <c r="M120" i="3"/>
  <c r="L120" i="3"/>
  <c r="F120" i="3"/>
  <c r="M119" i="3"/>
  <c r="L119" i="3"/>
  <c r="F119" i="3"/>
  <c r="M118" i="3"/>
  <c r="L118" i="3"/>
  <c r="F118" i="3"/>
  <c r="L117" i="3"/>
  <c r="F117" i="3"/>
  <c r="M117" i="3" s="1"/>
  <c r="L116" i="3"/>
  <c r="F116" i="3"/>
  <c r="M116" i="3" s="1"/>
  <c r="L115" i="3"/>
  <c r="F115" i="3"/>
  <c r="M115" i="3" s="1"/>
  <c r="K114" i="3"/>
  <c r="J114" i="3"/>
  <c r="D114" i="3"/>
  <c r="L113" i="3"/>
  <c r="F113" i="3"/>
  <c r="M113" i="3" s="1"/>
  <c r="L112" i="3"/>
  <c r="F112" i="3"/>
  <c r="M112" i="3" s="1"/>
  <c r="L111" i="3"/>
  <c r="F111" i="3"/>
  <c r="F114" i="3" s="1"/>
  <c r="M110" i="3"/>
  <c r="L110" i="3"/>
  <c r="F110" i="3"/>
  <c r="M109" i="3"/>
  <c r="L109" i="3"/>
  <c r="F109" i="3"/>
  <c r="K108" i="3"/>
  <c r="J108" i="3"/>
  <c r="D108" i="3"/>
  <c r="L107" i="3"/>
  <c r="F107" i="3"/>
  <c r="M107" i="3" s="1"/>
  <c r="M106" i="3"/>
  <c r="L106" i="3"/>
  <c r="F106" i="3"/>
  <c r="M105" i="3"/>
  <c r="L105" i="3"/>
  <c r="F105" i="3"/>
  <c r="F108" i="3" s="1"/>
  <c r="K104" i="3"/>
  <c r="J104" i="3"/>
  <c r="F104" i="3"/>
  <c r="D104" i="3"/>
  <c r="M103" i="3"/>
  <c r="L103" i="3"/>
  <c r="F103" i="3"/>
  <c r="L102" i="3"/>
  <c r="F102" i="3"/>
  <c r="M102" i="3" s="1"/>
  <c r="L101" i="3"/>
  <c r="F101" i="3"/>
  <c r="M101" i="3" s="1"/>
  <c r="L100" i="3"/>
  <c r="F100" i="3"/>
  <c r="M100" i="3" s="1"/>
  <c r="M99" i="3"/>
  <c r="L99" i="3"/>
  <c r="F99" i="3"/>
  <c r="M98" i="3"/>
  <c r="L98" i="3"/>
  <c r="F98" i="3"/>
  <c r="M97" i="3"/>
  <c r="L97" i="3"/>
  <c r="F97" i="3"/>
  <c r="M96" i="3"/>
  <c r="L96" i="3"/>
  <c r="F96" i="3"/>
  <c r="K95" i="3"/>
  <c r="J95" i="3"/>
  <c r="D95" i="3"/>
  <c r="M94" i="3"/>
  <c r="L94" i="3"/>
  <c r="F94" i="3"/>
  <c r="M93" i="3"/>
  <c r="L93" i="3"/>
  <c r="F93" i="3"/>
  <c r="L92" i="3"/>
  <c r="F92" i="3"/>
  <c r="M92" i="3" s="1"/>
  <c r="M91" i="3"/>
  <c r="L91" i="3"/>
  <c r="F91" i="3"/>
  <c r="L90" i="3"/>
  <c r="F90" i="3"/>
  <c r="M90" i="3" s="1"/>
  <c r="K89" i="3"/>
  <c r="J89" i="3"/>
  <c r="D89" i="3"/>
  <c r="L88" i="3"/>
  <c r="F88" i="3"/>
  <c r="M88" i="3" s="1"/>
  <c r="L87" i="3"/>
  <c r="F87" i="3"/>
  <c r="M87" i="3" s="1"/>
  <c r="M86" i="3"/>
  <c r="L86" i="3"/>
  <c r="F86" i="3"/>
  <c r="M85" i="3"/>
  <c r="L85" i="3"/>
  <c r="F85" i="3"/>
  <c r="L84" i="3"/>
  <c r="F84" i="3"/>
  <c r="M84" i="3" s="1"/>
  <c r="K83" i="3"/>
  <c r="J83" i="3"/>
  <c r="D83" i="3"/>
  <c r="M82" i="3"/>
  <c r="L82" i="3"/>
  <c r="F82" i="3"/>
  <c r="M81" i="3"/>
  <c r="L81" i="3"/>
  <c r="F81" i="3"/>
  <c r="M80" i="3"/>
  <c r="L80" i="3"/>
  <c r="F80" i="3"/>
  <c r="L79" i="3"/>
  <c r="F79" i="3"/>
  <c r="M79" i="3" s="1"/>
  <c r="L78" i="3"/>
  <c r="F78" i="3"/>
  <c r="M78" i="3" s="1"/>
  <c r="L77" i="3"/>
  <c r="F77" i="3"/>
  <c r="M77" i="3" s="1"/>
  <c r="M76" i="3"/>
  <c r="L76" i="3"/>
  <c r="F76" i="3"/>
  <c r="F83" i="3" s="1"/>
  <c r="K75" i="3"/>
  <c r="J75" i="3"/>
  <c r="D75" i="3"/>
  <c r="L74" i="3"/>
  <c r="F74" i="3"/>
  <c r="M74" i="3" s="1"/>
  <c r="L73" i="3"/>
  <c r="F73" i="3"/>
  <c r="M73" i="3" s="1"/>
  <c r="M72" i="3"/>
  <c r="L72" i="3"/>
  <c r="F72" i="3"/>
  <c r="M71" i="3"/>
  <c r="L71" i="3"/>
  <c r="F71" i="3"/>
  <c r="M70" i="3"/>
  <c r="L70" i="3"/>
  <c r="F70" i="3"/>
  <c r="L69" i="3"/>
  <c r="F69" i="3"/>
  <c r="M69" i="3" s="1"/>
  <c r="M68" i="3"/>
  <c r="L68" i="3"/>
  <c r="F68" i="3"/>
  <c r="L67" i="3"/>
  <c r="F67" i="3"/>
  <c r="M67" i="3" s="1"/>
  <c r="L66" i="3"/>
  <c r="F66" i="3"/>
  <c r="M66" i="3" s="1"/>
  <c r="L65" i="3"/>
  <c r="F65" i="3"/>
  <c r="F75" i="3" s="1"/>
  <c r="M64" i="3"/>
  <c r="L64" i="3"/>
  <c r="F64" i="3"/>
  <c r="K61" i="3"/>
  <c r="J61" i="3"/>
  <c r="F61" i="3"/>
  <c r="D61" i="3"/>
  <c r="K59" i="3"/>
  <c r="J59" i="3"/>
  <c r="D59" i="3"/>
  <c r="F58" i="3"/>
  <c r="F59" i="3" s="1"/>
  <c r="K57" i="3"/>
  <c r="J57" i="3"/>
  <c r="F57" i="3"/>
  <c r="D57" i="3"/>
  <c r="M56" i="3"/>
  <c r="L56" i="3"/>
  <c r="F56" i="3"/>
  <c r="L55" i="3"/>
  <c r="F55" i="3"/>
  <c r="M55" i="3" s="1"/>
  <c r="L54" i="3"/>
  <c r="F54" i="3"/>
  <c r="M54" i="3" s="1"/>
  <c r="K53" i="3"/>
  <c r="J53" i="3"/>
  <c r="F53" i="3"/>
  <c r="D53" i="3"/>
  <c r="L52" i="3"/>
  <c r="F52" i="3"/>
  <c r="M52" i="3" s="1"/>
  <c r="L51" i="3"/>
  <c r="F51" i="3"/>
  <c r="M51" i="3" s="1"/>
  <c r="M50" i="3"/>
  <c r="L50" i="3"/>
  <c r="F50" i="3"/>
  <c r="M49" i="3"/>
  <c r="L49" i="3"/>
  <c r="F49" i="3"/>
  <c r="M48" i="3"/>
  <c r="L48" i="3"/>
  <c r="F48" i="3"/>
  <c r="M47" i="3"/>
  <c r="L47" i="3"/>
  <c r="F47" i="3"/>
  <c r="K46" i="3"/>
  <c r="J46" i="3"/>
  <c r="F46" i="3"/>
  <c r="D46" i="3"/>
  <c r="K44" i="3"/>
  <c r="J44" i="3"/>
  <c r="D44" i="3"/>
  <c r="M43" i="3"/>
  <c r="L43" i="3"/>
  <c r="F43" i="3"/>
  <c r="L42" i="3"/>
  <c r="F42" i="3"/>
  <c r="M42" i="3" s="1"/>
  <c r="M41" i="3"/>
  <c r="L41" i="3"/>
  <c r="F41" i="3"/>
  <c r="M40" i="3"/>
  <c r="L40" i="3"/>
  <c r="F40" i="3"/>
  <c r="L39" i="3"/>
  <c r="F39" i="3"/>
  <c r="M39" i="3" s="1"/>
  <c r="K38" i="3"/>
  <c r="J38" i="3"/>
  <c r="D38" i="3"/>
  <c r="L37" i="3"/>
  <c r="F37" i="3"/>
  <c r="M37" i="3" s="1"/>
  <c r="M36" i="3"/>
  <c r="L36" i="3"/>
  <c r="M35" i="3"/>
  <c r="L35" i="3"/>
  <c r="F35" i="3"/>
  <c r="L34" i="3"/>
  <c r="F34" i="3"/>
  <c r="M34" i="3" s="1"/>
  <c r="M33" i="3"/>
  <c r="L33" i="3"/>
  <c r="F33" i="3"/>
  <c r="M32" i="3"/>
  <c r="L32" i="3"/>
  <c r="F32" i="3"/>
  <c r="L31" i="3"/>
  <c r="F31" i="3"/>
  <c r="M31" i="3" s="1"/>
  <c r="K30" i="3"/>
  <c r="J30" i="3"/>
  <c r="F30" i="3"/>
  <c r="D30" i="3"/>
  <c r="L29" i="3"/>
  <c r="F29" i="3"/>
  <c r="M29" i="3" s="1"/>
  <c r="L28" i="3"/>
  <c r="F28" i="3"/>
  <c r="M28" i="3" s="1"/>
  <c r="L27" i="3"/>
  <c r="F27" i="3"/>
  <c r="M27" i="3" s="1"/>
  <c r="M26" i="3"/>
  <c r="L26" i="3"/>
  <c r="F26" i="3"/>
  <c r="M25" i="3"/>
  <c r="L25" i="3"/>
  <c r="F25" i="3"/>
  <c r="M24" i="3"/>
  <c r="L24" i="3"/>
  <c r="F24" i="3"/>
  <c r="K23" i="3"/>
  <c r="J23" i="3"/>
  <c r="D23" i="3"/>
  <c r="M22" i="3"/>
  <c r="L22" i="3"/>
  <c r="F22" i="3"/>
  <c r="M21" i="3"/>
  <c r="L21" i="3"/>
  <c r="L20" i="3"/>
  <c r="F20" i="3"/>
  <c r="M20" i="3" s="1"/>
  <c r="L19" i="3"/>
  <c r="F19" i="3"/>
  <c r="M19" i="3" s="1"/>
  <c r="M18" i="3"/>
  <c r="L18" i="3"/>
  <c r="F18" i="3"/>
  <c r="M17" i="3"/>
  <c r="L17" i="3"/>
  <c r="F17" i="3"/>
  <c r="M16" i="3"/>
  <c r="L16" i="3"/>
  <c r="F16" i="3"/>
  <c r="F23" i="3" s="1"/>
  <c r="K15" i="3"/>
  <c r="J15" i="3"/>
  <c r="D15" i="3"/>
  <c r="M14" i="3"/>
  <c r="L14" i="3"/>
  <c r="F14" i="3"/>
  <c r="M13" i="3"/>
  <c r="L13" i="3"/>
  <c r="F13" i="3"/>
  <c r="M12" i="3"/>
  <c r="L12" i="3"/>
  <c r="F12" i="3"/>
  <c r="L11" i="3"/>
  <c r="F11" i="3"/>
  <c r="M11" i="3" s="1"/>
  <c r="M10" i="3"/>
  <c r="L10" i="3"/>
  <c r="F10" i="3"/>
  <c r="F15" i="3" s="1"/>
  <c r="K9" i="3"/>
  <c r="J9" i="3"/>
  <c r="D9" i="3"/>
  <c r="L8" i="3"/>
  <c r="F8" i="3"/>
  <c r="M8" i="3" s="1"/>
  <c r="L7" i="3"/>
  <c r="F7" i="3"/>
  <c r="M7" i="3" s="1"/>
  <c r="L6" i="3"/>
  <c r="F6" i="3"/>
  <c r="M6" i="3" s="1"/>
  <c r="M5" i="3"/>
  <c r="L5" i="3"/>
  <c r="F5" i="3"/>
  <c r="M4" i="3"/>
  <c r="L4" i="3"/>
  <c r="F4" i="3"/>
  <c r="L3" i="3"/>
  <c r="F3" i="3"/>
  <c r="M3" i="3" s="1"/>
  <c r="L32" i="2"/>
  <c r="H32" i="2"/>
  <c r="E32" i="2"/>
  <c r="D32" i="2"/>
  <c r="A32" i="2"/>
  <c r="L31" i="2"/>
  <c r="H31" i="2"/>
  <c r="E31" i="2"/>
  <c r="D31" i="2"/>
  <c r="A31" i="2"/>
  <c r="L30" i="2"/>
  <c r="H30" i="2"/>
  <c r="E30" i="2"/>
  <c r="D30" i="2"/>
  <c r="A30" i="2"/>
  <c r="L29" i="2"/>
  <c r="H29" i="2"/>
  <c r="E29" i="2"/>
  <c r="D29" i="2"/>
  <c r="A29" i="2"/>
  <c r="L28" i="2"/>
  <c r="H28" i="2"/>
  <c r="E28" i="2"/>
  <c r="D28" i="2"/>
  <c r="A28" i="2"/>
  <c r="L27" i="2"/>
  <c r="H27" i="2"/>
  <c r="E27" i="2"/>
  <c r="D27" i="2"/>
  <c r="A27" i="2"/>
  <c r="L26" i="2"/>
  <c r="H26" i="2"/>
  <c r="E26" i="2"/>
  <c r="D26" i="2"/>
  <c r="A26" i="2"/>
  <c r="L25" i="2"/>
  <c r="H25" i="2"/>
  <c r="E25" i="2"/>
  <c r="D25" i="2"/>
  <c r="A25" i="2"/>
  <c r="L24" i="2"/>
  <c r="H24" i="2"/>
  <c r="E24" i="2"/>
  <c r="D24" i="2"/>
  <c r="A24" i="2"/>
  <c r="L23" i="2"/>
  <c r="H23" i="2"/>
  <c r="E23" i="2"/>
  <c r="D23" i="2"/>
  <c r="A23" i="2"/>
  <c r="L22" i="2"/>
  <c r="H22" i="2"/>
  <c r="E22" i="2"/>
  <c r="D22" i="2"/>
  <c r="A22" i="2"/>
  <c r="L21" i="2"/>
  <c r="H21" i="2"/>
  <c r="E21" i="2"/>
  <c r="D21" i="2"/>
  <c r="A21" i="2"/>
  <c r="L20" i="2"/>
  <c r="H20" i="2"/>
  <c r="E20" i="2"/>
  <c r="D20" i="2"/>
  <c r="A20" i="2"/>
  <c r="L19" i="2"/>
  <c r="H19" i="2"/>
  <c r="E19" i="2"/>
  <c r="D19" i="2"/>
  <c r="A19" i="2"/>
  <c r="L18" i="2"/>
  <c r="H18" i="2"/>
  <c r="E18" i="2"/>
  <c r="D18" i="2"/>
  <c r="A18" i="2"/>
  <c r="L17" i="2"/>
  <c r="H17" i="2"/>
  <c r="E17" i="2"/>
  <c r="D17" i="2"/>
  <c r="A17" i="2"/>
  <c r="L16" i="2"/>
  <c r="H16" i="2"/>
  <c r="E16" i="2"/>
  <c r="D16" i="2"/>
  <c r="A16" i="2"/>
  <c r="L15" i="2"/>
  <c r="H15" i="2"/>
  <c r="E15" i="2"/>
  <c r="D15" i="2"/>
  <c r="A15" i="2"/>
  <c r="L14" i="2"/>
  <c r="H14" i="2"/>
  <c r="E14" i="2"/>
  <c r="D14" i="2"/>
  <c r="A14" i="2"/>
  <c r="L13" i="2"/>
  <c r="H13" i="2"/>
  <c r="E13" i="2"/>
  <c r="D13" i="2"/>
  <c r="A13" i="2"/>
  <c r="L12" i="2"/>
  <c r="H12" i="2"/>
  <c r="E12" i="2"/>
  <c r="D12" i="2"/>
  <c r="A12" i="2"/>
  <c r="L11" i="2"/>
  <c r="H11" i="2"/>
  <c r="E11" i="2"/>
  <c r="D11" i="2"/>
  <c r="A11" i="2"/>
  <c r="L10" i="2"/>
  <c r="H10" i="2"/>
  <c r="E10" i="2"/>
  <c r="D10" i="2"/>
  <c r="A10" i="2"/>
  <c r="L9" i="2"/>
  <c r="H9" i="2"/>
  <c r="E9" i="2"/>
  <c r="D9" i="2"/>
  <c r="A9" i="2"/>
  <c r="L8" i="2"/>
  <c r="H8" i="2"/>
  <c r="E8" i="2"/>
  <c r="D8" i="2"/>
  <c r="A8" i="2"/>
  <c r="L7" i="2"/>
  <c r="H7" i="2"/>
  <c r="E7" i="2"/>
  <c r="D7" i="2"/>
  <c r="A7" i="2"/>
  <c r="L6" i="2"/>
  <c r="H6" i="2"/>
  <c r="E6" i="2"/>
  <c r="D6" i="2"/>
  <c r="A6" i="2"/>
  <c r="L5" i="2"/>
  <c r="H5" i="2"/>
  <c r="E5" i="2"/>
  <c r="D5" i="2"/>
  <c r="A5" i="2"/>
  <c r="W31" i="1"/>
  <c r="V31" i="1"/>
  <c r="C32" i="2" s="1"/>
  <c r="U31" i="1"/>
  <c r="N31" i="1" s="1"/>
  <c r="K32" i="2" s="1"/>
  <c r="M31" i="1"/>
  <c r="J32" i="2" s="1"/>
  <c r="K31" i="1"/>
  <c r="G32" i="2" s="1"/>
  <c r="J31" i="1"/>
  <c r="F32" i="2" s="1"/>
  <c r="E31" i="1"/>
  <c r="W30" i="1"/>
  <c r="V30" i="1"/>
  <c r="C31" i="2" s="1"/>
  <c r="U30" i="1"/>
  <c r="B31" i="2" s="1"/>
  <c r="N30" i="1"/>
  <c r="K31" i="2" s="1"/>
  <c r="M30" i="1"/>
  <c r="J31" i="2" s="1"/>
  <c r="K30" i="1"/>
  <c r="G31" i="2" s="1"/>
  <c r="J30" i="1"/>
  <c r="F31" i="2" s="1"/>
  <c r="E30" i="1"/>
  <c r="W29" i="1"/>
  <c r="V29" i="1"/>
  <c r="C30" i="2" s="1"/>
  <c r="U29" i="1"/>
  <c r="N29" i="1" s="1"/>
  <c r="K30" i="2" s="1"/>
  <c r="M29" i="1"/>
  <c r="J30" i="2" s="1"/>
  <c r="J29" i="1"/>
  <c r="F30" i="2" s="1"/>
  <c r="E29" i="1"/>
  <c r="W28" i="1"/>
  <c r="V28" i="1"/>
  <c r="C29" i="2" s="1"/>
  <c r="U28" i="1"/>
  <c r="B29" i="2" s="1"/>
  <c r="M28" i="1"/>
  <c r="J29" i="2" s="1"/>
  <c r="K28" i="1"/>
  <c r="G29" i="2" s="1"/>
  <c r="J28" i="1"/>
  <c r="F29" i="2" s="1"/>
  <c r="E28" i="1"/>
  <c r="W26" i="1"/>
  <c r="V26" i="1"/>
  <c r="C28" i="2" s="1"/>
  <c r="U26" i="1"/>
  <c r="B28" i="2" s="1"/>
  <c r="N26" i="1"/>
  <c r="K28" i="2" s="1"/>
  <c r="M26" i="1"/>
  <c r="J28" i="2" s="1"/>
  <c r="K26" i="1"/>
  <c r="G28" i="2" s="1"/>
  <c r="J26" i="1"/>
  <c r="F28" i="2" s="1"/>
  <c r="E26" i="1"/>
  <c r="W25" i="1"/>
  <c r="V25" i="1"/>
  <c r="C27" i="2" s="1"/>
  <c r="U25" i="1"/>
  <c r="N25" i="1" s="1"/>
  <c r="K27" i="2" s="1"/>
  <c r="M25" i="1"/>
  <c r="J27" i="2" s="1"/>
  <c r="J25" i="1"/>
  <c r="F27" i="2" s="1"/>
  <c r="E25" i="1"/>
  <c r="W24" i="1"/>
  <c r="V24" i="1"/>
  <c r="C26" i="2" s="1"/>
  <c r="U24" i="1"/>
  <c r="N24" i="1" s="1"/>
  <c r="K26" i="2" s="1"/>
  <c r="M24" i="1"/>
  <c r="J26" i="2" s="1"/>
  <c r="K24" i="1"/>
  <c r="G26" i="2" s="1"/>
  <c r="J24" i="1"/>
  <c r="F26" i="2" s="1"/>
  <c r="W23" i="1"/>
  <c r="V23" i="1"/>
  <c r="C25" i="2" s="1"/>
  <c r="U23" i="1"/>
  <c r="B25" i="2" s="1"/>
  <c r="N23" i="1"/>
  <c r="K25" i="2" s="1"/>
  <c r="M23" i="1"/>
  <c r="J25" i="2" s="1"/>
  <c r="J23" i="1"/>
  <c r="K23" i="1" s="1"/>
  <c r="G25" i="2" s="1"/>
  <c r="E23" i="1"/>
  <c r="W22" i="1"/>
  <c r="V22" i="1"/>
  <c r="C24" i="2" s="1"/>
  <c r="U22" i="1"/>
  <c r="N22" i="1" s="1"/>
  <c r="K24" i="2" s="1"/>
  <c r="M22" i="1"/>
  <c r="J24" i="2" s="1"/>
  <c r="K22" i="1"/>
  <c r="G24" i="2" s="1"/>
  <c r="J22" i="1"/>
  <c r="F24" i="2" s="1"/>
  <c r="E22" i="1"/>
  <c r="W21" i="1"/>
  <c r="V21" i="1"/>
  <c r="C23" i="2" s="1"/>
  <c r="U21" i="1"/>
  <c r="N21" i="1" s="1"/>
  <c r="K23" i="2" s="1"/>
  <c r="M21" i="1"/>
  <c r="J23" i="2" s="1"/>
  <c r="K21" i="1"/>
  <c r="G23" i="2" s="1"/>
  <c r="J21" i="1"/>
  <c r="F23" i="2" s="1"/>
  <c r="E21" i="1"/>
  <c r="W20" i="1"/>
  <c r="V20" i="1"/>
  <c r="C22" i="2" s="1"/>
  <c r="U20" i="1"/>
  <c r="B22" i="2" s="1"/>
  <c r="N20" i="1"/>
  <c r="K22" i="2" s="1"/>
  <c r="M20" i="1"/>
  <c r="J22" i="2" s="1"/>
  <c r="K20" i="1"/>
  <c r="G22" i="2" s="1"/>
  <c r="J20" i="1"/>
  <c r="F22" i="2" s="1"/>
  <c r="W19" i="1"/>
  <c r="M19" i="1" s="1"/>
  <c r="V19" i="1"/>
  <c r="C21" i="2" s="1"/>
  <c r="U19" i="1"/>
  <c r="B21" i="2" s="1"/>
  <c r="K19" i="1"/>
  <c r="G21" i="2" s="1"/>
  <c r="J19" i="1"/>
  <c r="F21" i="2" s="1"/>
  <c r="E19" i="1"/>
  <c r="W18" i="1"/>
  <c r="M18" i="1" s="1"/>
  <c r="V18" i="1"/>
  <c r="C20" i="2" s="1"/>
  <c r="U18" i="1"/>
  <c r="B20" i="2" s="1"/>
  <c r="K18" i="1"/>
  <c r="G20" i="2" s="1"/>
  <c r="J18" i="1"/>
  <c r="F20" i="2" s="1"/>
  <c r="E18" i="1"/>
  <c r="W17" i="1"/>
  <c r="M17" i="1" s="1"/>
  <c r="V17" i="1"/>
  <c r="C19" i="2" s="1"/>
  <c r="U17" i="1"/>
  <c r="B19" i="2" s="1"/>
  <c r="J17" i="1"/>
  <c r="F19" i="2" s="1"/>
  <c r="W16" i="1"/>
  <c r="M16" i="1" s="1"/>
  <c r="V16" i="1"/>
  <c r="C18" i="2" s="1"/>
  <c r="U16" i="1"/>
  <c r="B18" i="2" s="1"/>
  <c r="K16" i="1"/>
  <c r="G18" i="2" s="1"/>
  <c r="J16" i="1"/>
  <c r="F18" i="2" s="1"/>
  <c r="W15" i="1"/>
  <c r="M15" i="1" s="1"/>
  <c r="J17" i="2" s="1"/>
  <c r="V15" i="1"/>
  <c r="C17" i="2" s="1"/>
  <c r="U15" i="1"/>
  <c r="B17" i="2" s="1"/>
  <c r="E15" i="1"/>
  <c r="W14" i="1"/>
  <c r="M14" i="1" s="1"/>
  <c r="J16" i="2" s="1"/>
  <c r="V14" i="1"/>
  <c r="J14" i="1" s="1"/>
  <c r="F16" i="2" s="1"/>
  <c r="U14" i="1"/>
  <c r="N14" i="1" s="1"/>
  <c r="K16" i="2" s="1"/>
  <c r="W13" i="1"/>
  <c r="M13" i="1" s="1"/>
  <c r="J15" i="2" s="1"/>
  <c r="V13" i="1"/>
  <c r="C15" i="2" s="1"/>
  <c r="U13" i="1"/>
  <c r="B15" i="2" s="1"/>
  <c r="E13" i="1"/>
  <c r="W12" i="1"/>
  <c r="M12" i="1" s="1"/>
  <c r="V12" i="1"/>
  <c r="J12" i="1" s="1"/>
  <c r="F14" i="2" s="1"/>
  <c r="U12" i="1"/>
  <c r="K12" i="1" s="1"/>
  <c r="G14" i="2" s="1"/>
  <c r="E12" i="1"/>
  <c r="W11" i="1"/>
  <c r="M11" i="1" s="1"/>
  <c r="J13" i="2" s="1"/>
  <c r="V11" i="1"/>
  <c r="C13" i="2" s="1"/>
  <c r="U11" i="1"/>
  <c r="B13" i="2" s="1"/>
  <c r="E11" i="1"/>
  <c r="W10" i="1"/>
  <c r="M10" i="1" s="1"/>
  <c r="J12" i="2" s="1"/>
  <c r="V10" i="1"/>
  <c r="C12" i="2" s="1"/>
  <c r="U10" i="1"/>
  <c r="N10" i="1" s="1"/>
  <c r="K12" i="2" s="1"/>
  <c r="W9" i="1"/>
  <c r="M9" i="1" s="1"/>
  <c r="J11" i="2" s="1"/>
  <c r="V9" i="1"/>
  <c r="J9" i="1" s="1"/>
  <c r="F11" i="2" s="1"/>
  <c r="U9" i="1"/>
  <c r="N9" i="1" s="1"/>
  <c r="K11" i="2" s="1"/>
  <c r="E9" i="1"/>
  <c r="W8" i="1"/>
  <c r="V8" i="1"/>
  <c r="C10" i="2" s="1"/>
  <c r="U8" i="1"/>
  <c r="B10" i="2" s="1"/>
  <c r="N8" i="1"/>
  <c r="K10" i="2" s="1"/>
  <c r="M8" i="1"/>
  <c r="J10" i="2" s="1"/>
  <c r="W7" i="1"/>
  <c r="V7" i="1"/>
  <c r="C9" i="2" s="1"/>
  <c r="U7" i="1"/>
  <c r="B9" i="2" s="1"/>
  <c r="N7" i="1"/>
  <c r="K9" i="2" s="1"/>
  <c r="M7" i="1"/>
  <c r="J9" i="2" s="1"/>
  <c r="J7" i="1"/>
  <c r="F9" i="2" s="1"/>
  <c r="W6" i="1"/>
  <c r="V6" i="1"/>
  <c r="J6" i="1" s="1"/>
  <c r="F8" i="2" s="1"/>
  <c r="U6" i="1"/>
  <c r="K6" i="1" s="1"/>
  <c r="G8" i="2" s="1"/>
  <c r="N6" i="1"/>
  <c r="K8" i="2" s="1"/>
  <c r="M6" i="1"/>
  <c r="J8" i="2" s="1"/>
  <c r="E6" i="1"/>
  <c r="W5" i="1"/>
  <c r="V5" i="1"/>
  <c r="C7" i="2" s="1"/>
  <c r="U5" i="1"/>
  <c r="B7" i="2" s="1"/>
  <c r="N5" i="1"/>
  <c r="K7" i="2" s="1"/>
  <c r="M5" i="1"/>
  <c r="J7" i="2" s="1"/>
  <c r="K5" i="1"/>
  <c r="G7" i="2" s="1"/>
  <c r="J5" i="1"/>
  <c r="F7" i="2" s="1"/>
  <c r="E5" i="1"/>
  <c r="W4" i="1"/>
  <c r="V4" i="1"/>
  <c r="C6" i="2" s="1"/>
  <c r="U4" i="1"/>
  <c r="B6" i="2" s="1"/>
  <c r="M4" i="1"/>
  <c r="N4" i="1" s="1"/>
  <c r="K6" i="2" s="1"/>
  <c r="K4" i="1"/>
  <c r="G6" i="2" s="1"/>
  <c r="J4" i="1"/>
  <c r="F6" i="2" s="1"/>
  <c r="E4" i="1"/>
  <c r="W3" i="1"/>
  <c r="V3" i="1"/>
  <c r="C5" i="2" s="1"/>
  <c r="U3" i="1"/>
  <c r="M3" i="1"/>
  <c r="J5" i="2" s="1"/>
  <c r="E3" i="1"/>
  <c r="M15" i="2" l="1"/>
  <c r="I15" i="2"/>
  <c r="N18" i="1"/>
  <c r="K20" i="2" s="1"/>
  <c r="J20" i="2"/>
  <c r="M31" i="2"/>
  <c r="I31" i="2"/>
  <c r="M25" i="2"/>
  <c r="I25" i="2"/>
  <c r="M20" i="2"/>
  <c r="I20" i="2"/>
  <c r="J21" i="2"/>
  <c r="N19" i="1"/>
  <c r="K21" i="2" s="1"/>
  <c r="N12" i="1"/>
  <c r="K14" i="2" s="1"/>
  <c r="J14" i="2"/>
  <c r="I22" i="2"/>
  <c r="M22" i="2"/>
  <c r="M29" i="2"/>
  <c r="I29" i="2"/>
  <c r="I18" i="2"/>
  <c r="M18" i="2"/>
  <c r="I6" i="2"/>
  <c r="M6" i="2"/>
  <c r="M7" i="2"/>
  <c r="I7" i="2"/>
  <c r="M9" i="2"/>
  <c r="I9" i="2"/>
  <c r="M21" i="2"/>
  <c r="I21" i="2"/>
  <c r="M17" i="2"/>
  <c r="I17" i="2"/>
  <c r="J18" i="2"/>
  <c r="N16" i="1"/>
  <c r="K18" i="2" s="1"/>
  <c r="M13" i="2"/>
  <c r="I13" i="2"/>
  <c r="M19" i="2"/>
  <c r="I19" i="2"/>
  <c r="M28" i="2"/>
  <c r="I28" i="2"/>
  <c r="J19" i="2"/>
  <c r="N17" i="1"/>
  <c r="K19" i="2" s="1"/>
  <c r="I10" i="2"/>
  <c r="M10" i="2"/>
  <c r="F124" i="3"/>
  <c r="F210" i="3"/>
  <c r="B8" i="2"/>
  <c r="B12" i="2"/>
  <c r="B16" i="2"/>
  <c r="B24" i="2"/>
  <c r="B32" i="2"/>
  <c r="F44" i="3"/>
  <c r="N3" i="1"/>
  <c r="K5" i="2" s="1"/>
  <c r="J10" i="1"/>
  <c r="F12" i="2" s="1"/>
  <c r="J13" i="1"/>
  <c r="F15" i="2" s="1"/>
  <c r="K10" i="1"/>
  <c r="G12" i="2" s="1"/>
  <c r="K13" i="1"/>
  <c r="G15" i="2" s="1"/>
  <c r="J6" i="2"/>
  <c r="C8" i="2"/>
  <c r="C16" i="2"/>
  <c r="F25" i="2"/>
  <c r="K7" i="1"/>
  <c r="G9" i="2" s="1"/>
  <c r="N13" i="1"/>
  <c r="K15" i="2" s="1"/>
  <c r="F95" i="3"/>
  <c r="M172" i="3"/>
  <c r="M214" i="3"/>
  <c r="F222" i="3"/>
  <c r="F38" i="3"/>
  <c r="B11" i="2"/>
  <c r="B23" i="2"/>
  <c r="B27" i="2"/>
  <c r="C11" i="2"/>
  <c r="K17" i="1"/>
  <c r="G19" i="2" s="1"/>
  <c r="J11" i="1"/>
  <c r="F13" i="2" s="1"/>
  <c r="K14" i="1"/>
  <c r="G16" i="2" s="1"/>
  <c r="J8" i="1"/>
  <c r="F10" i="2" s="1"/>
  <c r="K11" i="1"/>
  <c r="G13" i="2" s="1"/>
  <c r="M65" i="3"/>
  <c r="M111" i="3"/>
  <c r="M223" i="3"/>
  <c r="M231" i="3"/>
  <c r="K8" i="1"/>
  <c r="G10" i="2" s="1"/>
  <c r="F89" i="3"/>
  <c r="N11" i="1"/>
  <c r="K13" i="2" s="1"/>
  <c r="M127" i="3"/>
  <c r="B14" i="2"/>
  <c r="B26" i="2"/>
  <c r="B30" i="2"/>
  <c r="F9" i="3"/>
  <c r="N28" i="1"/>
  <c r="K29" i="2" s="1"/>
  <c r="C14" i="2"/>
  <c r="J15" i="1"/>
  <c r="F17" i="2" s="1"/>
  <c r="K15" i="1"/>
  <c r="G17" i="2" s="1"/>
  <c r="K9" i="1"/>
  <c r="G11" i="2" s="1"/>
  <c r="N15" i="1"/>
  <c r="K17" i="2" s="1"/>
  <c r="J3" i="1"/>
  <c r="F5" i="2" s="1"/>
  <c r="B5" i="2"/>
  <c r="K25" i="1"/>
  <c r="G27" i="2" s="1"/>
  <c r="K29" i="1"/>
  <c r="G30" i="2" s="1"/>
  <c r="M32" i="2" l="1"/>
  <c r="I32" i="2"/>
  <c r="M16" i="2"/>
  <c r="I16" i="2"/>
  <c r="M12" i="2"/>
  <c r="I12" i="2"/>
  <c r="I14" i="2"/>
  <c r="M14" i="2"/>
  <c r="M24" i="2"/>
  <c r="I24" i="2"/>
  <c r="M23" i="2"/>
  <c r="I23" i="2"/>
  <c r="I26" i="2"/>
  <c r="M26" i="2"/>
  <c r="M27" i="2"/>
  <c r="I27" i="2"/>
  <c r="M8" i="2"/>
  <c r="I8" i="2"/>
  <c r="M11" i="2"/>
  <c r="I11" i="2"/>
  <c r="K3" i="1"/>
  <c r="G5" i="2" s="1"/>
  <c r="M5" i="2"/>
  <c r="I5" i="2"/>
  <c r="I30" i="2"/>
  <c r="M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200-000001000000}">
      <text>
        <r>
          <rPr>
            <sz val="10"/>
            <rFont val="Arial"/>
            <family val="2"/>
          </rPr>
          <t xml:space="preserve">Brett Fassler:
Each puff session entails 80 puffs followed by a recharge. The final test may have less than 80 puffs if the vape died completely during the test.
</t>
        </r>
      </text>
    </comment>
    <comment ref="C2" authorId="0" shapeId="0" xr:uid="{00000000-0006-0000-0200-000002000000}">
      <text>
        <r>
          <rPr>
            <sz val="10"/>
            <rFont val="Arial"/>
            <family val="2"/>
          </rPr>
          <t xml:space="preserve">Brett Fassler:
Each puff session entails 80 puffs followed by a recharge. The final test may have less than 80 puffs if the vape died completely during the test.
</t>
        </r>
      </text>
    </comment>
  </commentList>
</comments>
</file>

<file path=xl/sharedStrings.xml><?xml version="1.0" encoding="utf-8"?>
<sst xmlns="http://schemas.openxmlformats.org/spreadsheetml/2006/main" count="356" uniqueCount="89">
  <si>
    <t>FRIENDS Measurements</t>
  </si>
  <si>
    <t>Vape Info.</t>
  </si>
  <si>
    <t>Vape</t>
  </si>
  <si>
    <t>Number of Puffs</t>
  </si>
  <si>
    <t>Puff Time (s)</t>
  </si>
  <si>
    <t>Total Puff Time (s)</t>
  </si>
  <si>
    <t>Interpuff Time (s)</t>
  </si>
  <si>
    <t>Puff Volume (mL)</t>
  </si>
  <si>
    <t>Puff Flow Rate (mL/s)</t>
  </si>
  <si>
    <t>Puffs Counted</t>
  </si>
  <si>
    <t>Puff Count RE (puff-weighted)</t>
  </si>
  <si>
    <t>Puff Count RE ± 95% CI (ratio estimator)</t>
  </si>
  <si>
    <t>Puff Time RE (puff-time-weighted)</t>
  </si>
  <si>
    <t>Puff Time RE ± 95% CI (ratio estimator)</t>
  </si>
  <si>
    <t>Thermistor Used (Y/N)</t>
  </si>
  <si>
    <t>Thermistor Needed (Y/N)</t>
  </si>
  <si>
    <t>Characteristics</t>
  </si>
  <si>
    <t>n (sessions)</t>
  </si>
  <si>
    <t>Σ Delivered Puffs</t>
  </si>
  <si>
    <t>Σ Delivered Puff Time (s)</t>
  </si>
  <si>
    <t>Adjust Myflavor</t>
  </si>
  <si>
    <t>Y</t>
  </si>
  <si>
    <t>N</t>
  </si>
  <si>
    <t>Closed System; Rechargeable</t>
  </si>
  <si>
    <t>Artery CL6</t>
  </si>
  <si>
    <t>Breeze Pro</t>
  </si>
  <si>
    <t>Closed System; Non-rechargeable</t>
  </si>
  <si>
    <t>`</t>
  </si>
  <si>
    <t>EBCreate BC 5000</t>
  </si>
  <si>
    <t>Elf Bar BC5000</t>
  </si>
  <si>
    <t>Funky Republic ti7000</t>
  </si>
  <si>
    <t>Fzzybar X20000</t>
  </si>
  <si>
    <t>Geek Bar Pulse</t>
  </si>
  <si>
    <t>Hyde IQ5000</t>
  </si>
  <si>
    <t>Hyde N-bar</t>
  </si>
  <si>
    <t>Hyde Rebel</t>
  </si>
  <si>
    <t>Juul</t>
  </si>
  <si>
    <t>Pod; Non-refillable</t>
  </si>
  <si>
    <t>Kangvape Speedy Beast X</t>
  </si>
  <si>
    <t>Lost Angel Sphere 35K</t>
  </si>
  <si>
    <t>Closed System; Rechargable</t>
  </si>
  <si>
    <t>Lost Mary MT15000</t>
  </si>
  <si>
    <t>Mr Fog Aura</t>
  </si>
  <si>
    <t>MR Fog Nova</t>
  </si>
  <si>
    <t>Njoy Ace</t>
  </si>
  <si>
    <t>North 5000 Disposable</t>
  </si>
  <si>
    <t>Offstamp SW 9000</t>
  </si>
  <si>
    <t>Offstamp X cube</t>
  </si>
  <si>
    <t>RAZ DC25000</t>
  </si>
  <si>
    <t>Tyson Heavyweight</t>
  </si>
  <si>
    <t>Viho TRX 50k</t>
  </si>
  <si>
    <t>Fogger Switch Pro</t>
  </si>
  <si>
    <t>Juul 2</t>
  </si>
  <si>
    <t>KangerTech SUBOX</t>
  </si>
  <si>
    <t>LostMary OS5000</t>
  </si>
  <si>
    <t>Confidence intervals for FRIENDS accuracy: method comparison</t>
  </si>
  <si>
    <t>n sessions</t>
  </si>
  <si>
    <t>Σ puffs delivered</t>
  </si>
  <si>
    <t>Min session size</t>
  </si>
  <si>
    <t>Max session size</t>
  </si>
  <si>
    <t>Signed count bias</t>
  </si>
  <si>
    <t>Signed ±95% CI</t>
  </si>
  <si>
    <t>Signed time bias</t>
  </si>
  <si>
    <t>For vape v with sessions j = 1..n:  x_j = delivered puffs (or delivered puff time), u_j = |counted - delivered|.</t>
  </si>
  <si>
    <t>Point estimate   R = Σ u_j / Σ x_j   (puff-weighted mean absolute relative error, WMAPE)</t>
  </si>
  <si>
    <t>Variance         v(R) = n * Σ (u_j - R*x_j)^2 / [ (n-1) * (Σ x_j)^2 ]</t>
  </si>
  <si>
    <t>95% CI           R ± t(0.975, n-1) * SQRT(v(R))</t>
  </si>
  <si>
    <t>This weights each session by its own size, makes no distributional assumption about within-session errors, and is robust to correlation of errors within a session. It is the standard survey-sampling variance for a ratio of totals (Cochran 1977, Sampling Techniques, 3rd ed., Sec. 6.3).</t>
  </si>
  <si>
    <t>Assumptions and limitations</t>
  </si>
  <si>
    <t>a) Sessions within a vape are treated as independent replicate clusters. If sessions were run back-to-back on one coil, this is optimistic (coil ageing induces between-session drift that is not exchangeable).</t>
  </si>
  <si>
    <t>b) n = 1 (Njoy Ace) admits no session-level variance estimate; K/N return "N/A (n=1)". A puff-level Wilson score interval on the detection rate (80/80 detected -&gt; 95.4%-100%) is the only alternative, but see (c).</t>
  </si>
  <si>
    <t>Puff Session</t>
  </si>
  <si>
    <t>Actual Puff Time (s)</t>
  </si>
  <si>
    <t>Recorded Puff Time (s)</t>
  </si>
  <si>
    <t>Puff Count RE (per session)</t>
  </si>
  <si>
    <t>Puff Time RE (per session)</t>
  </si>
  <si>
    <t>Overall</t>
  </si>
  <si>
    <t>-</t>
  </si>
  <si>
    <t>Nord 2</t>
  </si>
  <si>
    <t>Logic Pro</t>
  </si>
  <si>
    <t>Hyde REBEL</t>
  </si>
  <si>
    <t>count WMAPE</t>
  </si>
  <si>
    <t xml:space="preserve"> ±95% CI</t>
  </si>
  <si>
    <t>time WMAPE</t>
  </si>
  <si>
    <t>±95% CI</t>
  </si>
  <si>
    <t>Method: Cochran ratio estimator, sessions as clusters</t>
  </si>
  <si>
    <t>c) |RE| is not scale-invariant across sessions of different length. If detection errors were independent across puffs, E|RE| would fall as 1/sqrt(session length); if errors are systematic, E|RE| is constant. In this dataset errors are dominated by systematic undercounting, so weighting by x_j is appropriate - but this should be stated, and the signed bias columns (K, Q) reported alongside as the Bland-Altman bias term.</t>
  </si>
  <si>
    <t>puff-weighted ratio estimator with sessions as clusters (current Data Summary K/N).</t>
  </si>
  <si>
    <t>VMFRIENDS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</si>
</sst>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family val="2"/>
      <charset val="1"/>
    </font>
    <font>
      <sz val="10"/>
      <name val="Arial"/>
      <charset val="1"/>
    </font>
    <font>
      <b/>
      <sz val="12"/>
      <name val="Arial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DAE3F3"/>
      </patternFill>
    </fill>
    <fill>
      <patternFill patternType="solid">
        <fgColor theme="8" tint="0.79989013336588644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theme="9" tint="0.39979247413556324"/>
        <bgColor rgb="FFC5E0B4"/>
      </patternFill>
    </fill>
    <fill>
      <patternFill patternType="solid">
        <fgColor theme="9" tint="0.59978026673177287"/>
        <bgColor rgb="FFA9D18E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3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0" fillId="0" borderId="5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6" xfId="0" applyFont="1" applyBorder="1" applyAlignment="1">
      <alignment horizontal="center" wrapText="1"/>
    </xf>
    <xf numFmtId="0" fontId="0" fillId="0" borderId="2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7" xfId="0" applyBorder="1" applyAlignment="1"/>
    <xf numFmtId="0" fontId="2" fillId="2" borderId="0" xfId="0" applyFont="1" applyFill="1" applyAlignment="1">
      <alignment vertical="center" wrapText="1"/>
    </xf>
    <xf numFmtId="0" fontId="0" fillId="0" borderId="8" xfId="0" applyFont="1" applyBorder="1" applyAlignme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0" fontId="0" fillId="0" borderId="10" xfId="0" applyNumberFormat="1" applyBorder="1" applyAlignment="1">
      <alignment horizontal="center" wrapText="1"/>
    </xf>
    <xf numFmtId="10" fontId="3" fillId="0" borderId="10" xfId="0" applyNumberFormat="1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10" fontId="3" fillId="0" borderId="11" xfId="0" applyNumberFormat="1" applyFont="1" applyBorder="1" applyAlignment="1">
      <alignment horizont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wrapText="1"/>
    </xf>
    <xf numFmtId="0" fontId="0" fillId="0" borderId="0" xfId="0" applyAlignment="1">
      <alignment vertical="center" wrapText="1"/>
    </xf>
    <xf numFmtId="0" fontId="4" fillId="0" borderId="0" xfId="0" applyFont="1" applyAlignment="1"/>
    <xf numFmtId="0" fontId="0" fillId="0" borderId="12" xfId="0" applyFont="1" applyBorder="1" applyAlignment="1"/>
    <xf numFmtId="0" fontId="0" fillId="0" borderId="7" xfId="0" applyBorder="1" applyAlignment="1">
      <alignment horizontal="center" wrapText="1"/>
    </xf>
    <xf numFmtId="10" fontId="0" fillId="0" borderId="0" xfId="0" applyNumberForma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0" fontId="3" fillId="0" borderId="13" xfId="0" applyNumberFormat="1" applyFont="1" applyBorder="1" applyAlignment="1">
      <alignment horizontal="center" wrapText="1"/>
    </xf>
    <xf numFmtId="0" fontId="0" fillId="0" borderId="7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3" xfId="0" applyFont="1" applyBorder="1" applyAlignment="1">
      <alignment horizontal="center"/>
    </xf>
    <xf numFmtId="0" fontId="0" fillId="3" borderId="12" xfId="0" applyFont="1" applyFill="1" applyBorder="1" applyAlignment="1">
      <alignment vertical="center" wrapText="1"/>
    </xf>
    <xf numFmtId="0" fontId="0" fillId="3" borderId="0" xfId="0" applyFill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10" fontId="0" fillId="3" borderId="0" xfId="0" applyNumberFormat="1" applyFill="1" applyAlignment="1">
      <alignment horizontal="center" wrapText="1"/>
    </xf>
    <xf numFmtId="10" fontId="3" fillId="3" borderId="0" xfId="0" applyNumberFormat="1" applyFont="1" applyFill="1" applyAlignment="1">
      <alignment horizontal="center" wrapText="1"/>
    </xf>
    <xf numFmtId="10" fontId="3" fillId="3" borderId="13" xfId="0" applyNumberFormat="1" applyFont="1" applyFill="1" applyBorder="1" applyAlignment="1">
      <alignment horizontal="center" wrapText="1"/>
    </xf>
    <xf numFmtId="0" fontId="0" fillId="3" borderId="7" xfId="0" applyFont="1" applyFill="1" applyBorder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0" fillId="3" borderId="13" xfId="0" applyFont="1" applyFill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/>
    <xf numFmtId="0" fontId="0" fillId="0" borderId="4" xfId="0" applyBorder="1" applyAlignment="1">
      <alignment horizontal="center" vertical="center" wrapText="1"/>
    </xf>
    <xf numFmtId="10" fontId="0" fillId="0" borderId="4" xfId="0" applyNumberFormat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10" fontId="3" fillId="0" borderId="5" xfId="0" applyNumberFormat="1" applyFont="1" applyBorder="1" applyAlignment="1">
      <alignment horizontal="center" wrapText="1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3" borderId="8" xfId="0" applyFont="1" applyFill="1" applyBorder="1" applyAlignment="1">
      <alignment vertical="center" wrapText="1"/>
    </xf>
    <xf numFmtId="0" fontId="0" fillId="3" borderId="10" xfId="0" applyFill="1" applyBorder="1" applyAlignment="1">
      <alignment horizont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wrapText="1"/>
    </xf>
    <xf numFmtId="10" fontId="0" fillId="3" borderId="10" xfId="0" applyNumberFormat="1" applyFill="1" applyBorder="1" applyAlignment="1">
      <alignment horizontal="center" wrapText="1"/>
    </xf>
    <xf numFmtId="10" fontId="3" fillId="3" borderId="10" xfId="0" applyNumberFormat="1" applyFont="1" applyFill="1" applyBorder="1" applyAlignment="1">
      <alignment horizontal="center" wrapText="1"/>
    </xf>
    <xf numFmtId="10" fontId="3" fillId="3" borderId="11" xfId="0" applyNumberFormat="1" applyFont="1" applyFill="1" applyBorder="1" applyAlignment="1">
      <alignment horizontal="center" wrapText="1"/>
    </xf>
    <xf numFmtId="0" fontId="0" fillId="3" borderId="9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9" xfId="0" applyFont="1" applyBorder="1" applyAlignment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 wrapText="1"/>
    </xf>
    <xf numFmtId="10" fontId="3" fillId="0" borderId="10" xfId="0" applyNumberFormat="1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0" fillId="0" borderId="3" xfId="0" applyFont="1" applyBorder="1" applyAlignment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0" fontId="0" fillId="0" borderId="4" xfId="0" applyNumberForma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5" fillId="0" borderId="0" xfId="0" applyFont="1" applyAlignment="1"/>
    <xf numFmtId="0" fontId="2" fillId="2" borderId="15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vertical="center" wrapText="1"/>
    </xf>
    <xf numFmtId="1" fontId="4" fillId="0" borderId="0" xfId="0" applyNumberFormat="1" applyFont="1" applyAlignment="1"/>
    <xf numFmtId="10" fontId="4" fillId="0" borderId="0" xfId="0" applyNumberFormat="1" applyFont="1" applyAlignment="1"/>
    <xf numFmtId="0" fontId="2" fillId="0" borderId="0" xfId="0" applyFont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/>
    <xf numFmtId="0" fontId="0" fillId="0" borderId="16" xfId="0" applyBorder="1" applyAlignment="1"/>
    <xf numFmtId="0" fontId="0" fillId="0" borderId="10" xfId="0" applyBorder="1" applyAlignment="1"/>
    <xf numFmtId="0" fontId="1" fillId="5" borderId="4" xfId="0" applyFont="1" applyFill="1" applyBorder="1" applyAlignment="1">
      <alignment horizontal="right"/>
    </xf>
    <xf numFmtId="0" fontId="0" fillId="6" borderId="3" xfId="0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6" borderId="4" xfId="0" applyNumberFormat="1" applyFill="1" applyBorder="1" applyAlignment="1">
      <alignment horizontal="center"/>
    </xf>
    <xf numFmtId="0" fontId="0" fillId="0" borderId="5" xfId="0" applyBorder="1" applyAlignment="1"/>
    <xf numFmtId="0" fontId="1" fillId="6" borderId="4" xfId="0" applyFont="1" applyFill="1" applyBorder="1" applyAlignment="1">
      <alignment horizontal="right"/>
    </xf>
    <xf numFmtId="0" fontId="0" fillId="0" borderId="13" xfId="0" applyBorder="1" applyAlignment="1"/>
    <xf numFmtId="0" fontId="0" fillId="0" borderId="0" xfId="0" applyFont="1" applyFill="1" applyAlignment="1"/>
    <xf numFmtId="0" fontId="0" fillId="0" borderId="12" xfId="0" applyFont="1" applyFill="1" applyBorder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0" borderId="7" xfId="0" applyFill="1" applyBorder="1" applyAlignment="1">
      <alignment horizontal="center" vertical="center" wrapText="1"/>
    </xf>
    <xf numFmtId="10" fontId="0" fillId="0" borderId="0" xfId="0" applyNumberFormat="1" applyFill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0" fontId="3" fillId="0" borderId="13" xfId="0" applyNumberFormat="1" applyFont="1" applyFill="1" applyBorder="1" applyAlignment="1">
      <alignment horizontal="center" wrapText="1"/>
    </xf>
    <xf numFmtId="0" fontId="0" fillId="0" borderId="13" xfId="0" applyFont="1" applyFill="1" applyBorder="1" applyAlignment="1">
      <alignment horizont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/>
    <xf numFmtId="0" fontId="4" fillId="0" borderId="0" xfId="0" applyFont="1" applyFill="1" applyAlignment="1"/>
    <xf numFmtId="0" fontId="0" fillId="0" borderId="0" xfId="0" applyFill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5E0B4"/>
      <rgbColor rgb="FFE2EFDA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"/>
  <sheetViews>
    <sheetView tabSelected="1" zoomScale="85" zoomScaleNormal="85" workbookViewId="0">
      <selection activeCell="A28" sqref="A28"/>
    </sheetView>
  </sheetViews>
  <sheetFormatPr defaultColWidth="8.7265625" defaultRowHeight="14.5" x14ac:dyDescent="0.35"/>
  <cols>
    <col min="2" max="2" width="24.08984375" style="1" customWidth="1"/>
    <col min="3" max="3" width="8.54296875" style="1" customWidth="1"/>
    <col min="4" max="4" width="5.7265625" style="1" customWidth="1"/>
    <col min="5" max="5" width="10.54296875" style="1" customWidth="1"/>
    <col min="6" max="6" width="8.453125" style="1" customWidth="1"/>
    <col min="7" max="7" width="8.1796875" style="1" customWidth="1"/>
    <col min="8" max="8" width="7.81640625" style="1" customWidth="1"/>
    <col min="9" max="9" width="10" style="1" customWidth="1"/>
    <col min="10" max="10" width="9.81640625" style="1" customWidth="1"/>
    <col min="11" max="11" width="12.54296875" style="1" customWidth="1"/>
    <col min="12" max="12" width="13.453125" style="1" customWidth="1"/>
    <col min="13" max="13" width="15.81640625" style="1" customWidth="1"/>
    <col min="14" max="14" width="14" style="1" customWidth="1"/>
    <col min="15" max="15" width="14.08984375" style="1" customWidth="1"/>
    <col min="16" max="16" width="12.1796875" style="1" customWidth="1"/>
    <col min="17" max="17" width="29.81640625" style="1" customWidth="1"/>
    <col min="18" max="18" width="27.81640625" style="1" customWidth="1"/>
    <col min="19" max="19" width="20.453125" style="1" customWidth="1"/>
    <col min="21" max="23" width="14" style="1" customWidth="1"/>
  </cols>
  <sheetData>
    <row r="1" spans="1:23" ht="19.5" customHeight="1" x14ac:dyDescent="0.35">
      <c r="A1" s="2"/>
      <c r="B1" s="2"/>
      <c r="C1" s="115" t="s">
        <v>88</v>
      </c>
      <c r="D1" s="115"/>
      <c r="E1" s="115"/>
      <c r="F1" s="115"/>
      <c r="G1" s="115"/>
      <c r="H1" s="115"/>
      <c r="I1" s="115" t="s">
        <v>0</v>
      </c>
      <c r="J1" s="115"/>
      <c r="K1" s="115"/>
      <c r="L1" s="115"/>
      <c r="M1" s="115"/>
      <c r="N1" s="115"/>
      <c r="O1" s="116" t="s">
        <v>1</v>
      </c>
      <c r="P1" s="116"/>
      <c r="Q1" s="116"/>
    </row>
    <row r="2" spans="1:23" ht="29.25" customHeight="1" x14ac:dyDescent="0.35">
      <c r="A2" s="2"/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8" t="s">
        <v>5</v>
      </c>
      <c r="M2" s="8" t="s">
        <v>12</v>
      </c>
      <c r="N2" s="8" t="s">
        <v>13</v>
      </c>
      <c r="O2" s="9" t="s">
        <v>14</v>
      </c>
      <c r="P2" s="10" t="s">
        <v>15</v>
      </c>
      <c r="Q2" s="8" t="s">
        <v>16</v>
      </c>
      <c r="R2" s="11"/>
      <c r="U2" s="12" t="s">
        <v>17</v>
      </c>
      <c r="V2" s="12" t="s">
        <v>18</v>
      </c>
      <c r="W2" s="12" t="s">
        <v>19</v>
      </c>
    </row>
    <row r="3" spans="1:23" ht="15" customHeight="1" x14ac:dyDescent="0.35">
      <c r="A3" s="2">
        <v>1</v>
      </c>
      <c r="B3" s="13" t="s">
        <v>20</v>
      </c>
      <c r="C3" s="14">
        <v>440</v>
      </c>
      <c r="D3" s="14">
        <v>3</v>
      </c>
      <c r="E3" s="14">
        <f>C3*D3</f>
        <v>1320</v>
      </c>
      <c r="F3" s="15">
        <v>18</v>
      </c>
      <c r="G3" s="15">
        <v>120</v>
      </c>
      <c r="H3" s="15">
        <v>40</v>
      </c>
      <c r="I3" s="16">
        <v>440</v>
      </c>
      <c r="J3" s="17">
        <f>SUMPRODUCT(ABS('All Data'!J64:J74-'All Data'!D64:D74))/$V3</f>
        <v>0</v>
      </c>
      <c r="K3" s="18">
        <f>IF($U3&lt;2,"N/A (n=1)",TINV(0.05,$U3-1)*SQRT($U3*SUMPRODUCT((ABS('All Data'!J64:J74-'All Data'!D64:D74)-$J3*'All Data'!D64:D74)^2)/(($U3-1)*$V3^2)))</f>
        <v>0</v>
      </c>
      <c r="L3" s="19">
        <v>1437.6143999999999</v>
      </c>
      <c r="M3" s="17">
        <f>SUMPRODUCT(ABS('All Data'!K64:K74-'All Data'!F64:F74))/$W3</f>
        <v>8.9101818181818171E-2</v>
      </c>
      <c r="N3" s="20">
        <f>IF($U3&lt;2,"N/A (n=1)",TINV(0.05,$U3-1)*SQRT($U3*SUMPRODUCT((ABS('All Data'!K64:K74-'All Data'!F64:F74)-$M3*'All Data'!F64:F74)^2)/(($U3-1)*$W3^2)))</f>
        <v>5.5238047453313802E-3</v>
      </c>
      <c r="O3" s="21" t="s">
        <v>21</v>
      </c>
      <c r="P3" s="22" t="s">
        <v>22</v>
      </c>
      <c r="Q3" s="23" t="s">
        <v>23</v>
      </c>
      <c r="R3" s="24"/>
      <c r="S3" s="102"/>
      <c r="U3" s="25">
        <f>COUNT('All Data'!D64:D74)</f>
        <v>11</v>
      </c>
      <c r="V3" s="25">
        <f>SUM('All Data'!D64:D74)</f>
        <v>440</v>
      </c>
      <c r="W3" s="25">
        <f>SUM('All Data'!F64:F74)</f>
        <v>1320</v>
      </c>
    </row>
    <row r="4" spans="1:23" ht="15" customHeight="1" x14ac:dyDescent="0.35">
      <c r="A4" s="2">
        <v>2</v>
      </c>
      <c r="B4" s="26" t="s">
        <v>24</v>
      </c>
      <c r="C4" s="14">
        <v>433</v>
      </c>
      <c r="D4" s="14">
        <v>3</v>
      </c>
      <c r="E4" s="14">
        <f>C4*D4</f>
        <v>1299</v>
      </c>
      <c r="F4" s="15">
        <v>18</v>
      </c>
      <c r="G4" s="15">
        <v>120</v>
      </c>
      <c r="H4" s="15">
        <v>40</v>
      </c>
      <c r="I4" s="27">
        <v>403</v>
      </c>
      <c r="J4" s="28">
        <f>SUMPRODUCT(ABS('All Data'!J76:J82-'All Data'!D76:D82))/$V4</f>
        <v>6.9284064665127015E-2</v>
      </c>
      <c r="K4" s="29">
        <f>IF($U4&lt;2,"N/A (n=1)",TINV(0.05,$U4-1)*SQRT($U4*SUMPRODUCT((ABS('All Data'!J76:J82-'All Data'!D76:D82)-$J4*'All Data'!D76:D82)^2)/(($U4-1)*$V4^2)))</f>
        <v>9.9512295331864786E-2</v>
      </c>
      <c r="L4" s="14">
        <v>1311.6472000000001</v>
      </c>
      <c r="M4" s="28">
        <f>SUMPRODUCT(ABS('All Data'!K76:K82-'All Data'!F76:F82))/$W4</f>
        <v>9.1963048498845262E-2</v>
      </c>
      <c r="N4" s="30">
        <f>IF($U4&lt;2,"N/A (n=1)",TINV(0.05,$U4-1)*SQRT($U4*SUMPRODUCT((ABS('All Data'!K76:K82-'All Data'!F76:F82)-$M4*'All Data'!F76:F82)^2)/(($U4-1)*$W4^2)))</f>
        <v>0.10106321548441896</v>
      </c>
      <c r="O4" s="31" t="s">
        <v>21</v>
      </c>
      <c r="P4" s="32" t="s">
        <v>22</v>
      </c>
      <c r="Q4" s="33" t="s">
        <v>23</v>
      </c>
      <c r="R4" s="24"/>
      <c r="S4" s="102"/>
      <c r="U4" s="25">
        <f>COUNT('All Data'!D76:D82)</f>
        <v>7</v>
      </c>
      <c r="V4" s="25">
        <f>SUM('All Data'!D76:D82)</f>
        <v>433</v>
      </c>
      <c r="W4" s="25">
        <f>SUM('All Data'!F76:F82)</f>
        <v>1299</v>
      </c>
    </row>
    <row r="5" spans="1:23" s="114" customFormat="1" ht="14.25" customHeight="1" x14ac:dyDescent="0.35">
      <c r="A5" s="2">
        <v>3</v>
      </c>
      <c r="B5" s="103" t="s">
        <v>25</v>
      </c>
      <c r="C5" s="104">
        <v>400</v>
      </c>
      <c r="D5" s="105">
        <v>3</v>
      </c>
      <c r="E5" s="104">
        <f>C5*D5</f>
        <v>1200</v>
      </c>
      <c r="F5" s="104">
        <v>18</v>
      </c>
      <c r="G5" s="104">
        <v>120</v>
      </c>
      <c r="H5" s="104">
        <v>40</v>
      </c>
      <c r="I5" s="106">
        <v>397</v>
      </c>
      <c r="J5" s="107">
        <f>SUMPRODUCT(ABS('All Data'!J39:J43-'All Data'!D39:D43))/$V5</f>
        <v>7.4999999999999997E-3</v>
      </c>
      <c r="K5" s="108">
        <f>IF($U5&lt;2,"N/A (n=1)",TINV(0.05,$U5-1)*SQRT($U5*SUMPRODUCT((ABS('All Data'!J39:J43-'All Data'!D39:D43)-$J5*'All Data'!D39:D43)^2)/(($U5-1)*$V5^2)))</f>
        <v>2.0823338288983449E-2</v>
      </c>
      <c r="L5" s="104">
        <v>1241.0302999999999</v>
      </c>
      <c r="M5" s="107">
        <f>SUMPRODUCT(ABS('All Data'!K39:K43-'All Data'!F39:F43))/$W5</f>
        <v>3.4191916666666676E-2</v>
      </c>
      <c r="N5" s="109">
        <f>IF($U5&lt;2,"N/A (n=1)",TINV(0.05,$U5-1)*SQRT($U5*SUMPRODUCT((ABS('All Data'!K39:K43-'All Data'!F39:F43)-$M5*'All Data'!F39:F43)^2)/(($U5-1)*$W5^2)))</f>
        <v>1.3734479274161169E-2</v>
      </c>
      <c r="O5" s="106" t="s">
        <v>21</v>
      </c>
      <c r="P5" s="104" t="s">
        <v>21</v>
      </c>
      <c r="Q5" s="110" t="s">
        <v>26</v>
      </c>
      <c r="R5" s="111"/>
      <c r="S5" s="112"/>
      <c r="T5" s="112" t="s">
        <v>27</v>
      </c>
      <c r="U5" s="113">
        <f>COUNT('All Data'!D39:D43)</f>
        <v>5</v>
      </c>
      <c r="V5" s="113">
        <f>SUM('All Data'!D39:D43)</f>
        <v>400</v>
      </c>
      <c r="W5" s="113">
        <f>SUM('All Data'!F39:F43)</f>
        <v>1200</v>
      </c>
    </row>
    <row r="6" spans="1:23" ht="14.25" customHeight="1" x14ac:dyDescent="0.35">
      <c r="A6" s="2">
        <v>4</v>
      </c>
      <c r="B6" s="26" t="s">
        <v>28</v>
      </c>
      <c r="C6" s="14">
        <v>450</v>
      </c>
      <c r="D6" s="14">
        <v>3</v>
      </c>
      <c r="E6" s="14">
        <f>C6*D6</f>
        <v>1350</v>
      </c>
      <c r="F6" s="15">
        <v>18</v>
      </c>
      <c r="G6" s="15">
        <v>120</v>
      </c>
      <c r="H6" s="15">
        <v>40</v>
      </c>
      <c r="I6" s="27">
        <v>446</v>
      </c>
      <c r="J6" s="28">
        <f>SUMPRODUCT(ABS('All Data'!J84:J88-'All Data'!D84:D88))/$V6</f>
        <v>8.8888888888888889E-3</v>
      </c>
      <c r="K6" s="29">
        <f>IF($U6&lt;2,"N/A (n=1)",TINV(0.05,$U6-1)*SQRT($U6*SUMPRODUCT((ABS('All Data'!J84:J88-'All Data'!D84:D88)-$J6*'All Data'!D84:D88)^2)/(($U6-1)*$V6^2)))</f>
        <v>1.3041524438347364E-2</v>
      </c>
      <c r="L6" s="14">
        <v>1358.2995000000001</v>
      </c>
      <c r="M6" s="28">
        <f>SUMPRODUCT(ABS('All Data'!K84:K88-'All Data'!F84:F88))/$W6</f>
        <v>1.2941111111111101E-2</v>
      </c>
      <c r="N6" s="30">
        <f>IF($U6&lt;2,"N/A (n=1)",TINV(0.05,$U6-1)*SQRT($U6*SUMPRODUCT((ABS('All Data'!K84:K88-'All Data'!F84:F88)-$M6*'All Data'!F84:F88)^2)/(($U6-1)*$W6^2)))</f>
        <v>8.055311413350006E-3</v>
      </c>
      <c r="O6" s="31" t="s">
        <v>21</v>
      </c>
      <c r="P6" s="32" t="s">
        <v>21</v>
      </c>
      <c r="Q6" s="33" t="s">
        <v>23</v>
      </c>
      <c r="R6" s="24"/>
      <c r="U6" s="25">
        <f>COUNT('All Data'!D84:D88)</f>
        <v>5</v>
      </c>
      <c r="V6" s="25">
        <f>SUM('All Data'!D84:D88)</f>
        <v>450</v>
      </c>
      <c r="W6" s="25">
        <f>SUM('All Data'!F84:F88)</f>
        <v>1350</v>
      </c>
    </row>
    <row r="7" spans="1:23" ht="14.25" customHeight="1" x14ac:dyDescent="0.35">
      <c r="A7" s="2">
        <v>5</v>
      </c>
      <c r="B7" s="34" t="s">
        <v>29</v>
      </c>
      <c r="C7" s="35">
        <v>448</v>
      </c>
      <c r="D7" s="35">
        <v>3</v>
      </c>
      <c r="E7" s="35">
        <v>1344</v>
      </c>
      <c r="F7" s="35">
        <v>18</v>
      </c>
      <c r="G7" s="35">
        <v>120</v>
      </c>
      <c r="H7" s="35">
        <v>40</v>
      </c>
      <c r="I7" s="36">
        <v>448</v>
      </c>
      <c r="J7" s="37">
        <f>SUMPRODUCT(ABS('All Data'!J3:J8-'All Data'!D3:D8))/$V7</f>
        <v>0</v>
      </c>
      <c r="K7" s="38">
        <f>IF($U7&lt;2,"N/A (n=1)",TINV(0.05,$U7-1)*SQRT($U7*SUMPRODUCT((ABS('All Data'!J3:J8-'All Data'!D3:D8)-$J7*'All Data'!D3:D8)^2)/(($U7-1)*$V7^2)))</f>
        <v>0</v>
      </c>
      <c r="L7" s="35">
        <v>1380.2581</v>
      </c>
      <c r="M7" s="37">
        <f>SUMPRODUCT(ABS('All Data'!K3:K8-'All Data'!F3:F8))/$W7</f>
        <v>2.8843229166666665E-2</v>
      </c>
      <c r="N7" s="39">
        <f>IF($U7&lt;2,"N/A (n=1)",TINV(0.05,$U7-1)*SQRT($U7*SUMPRODUCT((ABS('All Data'!K3:K8-'All Data'!F3:F8)-$M7*'All Data'!F3:F8)^2)/(($U7-1)*$W7^2)))</f>
        <v>1.5849924544731078E-2</v>
      </c>
      <c r="O7" s="40" t="s">
        <v>21</v>
      </c>
      <c r="P7" s="41" t="s">
        <v>21</v>
      </c>
      <c r="Q7" s="42" t="s">
        <v>23</v>
      </c>
      <c r="R7" s="24"/>
      <c r="U7" s="25">
        <f>COUNT('All Data'!D3:D8)</f>
        <v>6</v>
      </c>
      <c r="V7" s="25">
        <f>SUM('All Data'!D3:D8)</f>
        <v>448</v>
      </c>
      <c r="W7" s="25">
        <f>SUM('All Data'!F3:F8)</f>
        <v>1344</v>
      </c>
    </row>
    <row r="8" spans="1:23" ht="14.25" customHeight="1" x14ac:dyDescent="0.35">
      <c r="A8" s="2">
        <v>6</v>
      </c>
      <c r="B8" s="34" t="s">
        <v>30</v>
      </c>
      <c r="C8" s="41">
        <v>560</v>
      </c>
      <c r="D8" s="35">
        <v>3</v>
      </c>
      <c r="E8" s="41">
        <v>1680</v>
      </c>
      <c r="F8" s="35">
        <v>18</v>
      </c>
      <c r="G8" s="35">
        <v>120</v>
      </c>
      <c r="H8" s="35">
        <v>40</v>
      </c>
      <c r="I8" s="40">
        <v>558</v>
      </c>
      <c r="J8" s="37">
        <f>SUMPRODUCT(ABS('All Data'!J31:J37-'All Data'!D31:D37))/$V8</f>
        <v>7.1428571428571426E-3</v>
      </c>
      <c r="K8" s="38">
        <f>IF($U8&lt;2,"N/A (n=1)",TINV(0.05,$U8-1)*SQRT($U8*SUMPRODUCT((ABS('All Data'!J31:J37-'All Data'!D31:D37)-$J8*'All Data'!D31:D37)^2)/(($U8-1)*$V8^2)))</f>
        <v>1.3108456345419482E-2</v>
      </c>
      <c r="L8" s="41">
        <v>1794.0507</v>
      </c>
      <c r="M8" s="37">
        <f>SUMPRODUCT(ABS('All Data'!K31:K37-'All Data'!F31:F37))/$W8</f>
        <v>6.7887321428571429E-2</v>
      </c>
      <c r="N8" s="39">
        <f>IF($U8&lt;2,"N/A (n=1)",TINV(0.05,$U8-1)*SQRT($U8*SUMPRODUCT((ABS('All Data'!K31:K37-'All Data'!F31:F37)-$M8*'All Data'!F31:F37)^2)/(($U8-1)*$W8^2)))</f>
        <v>2.4107140045672961E-2</v>
      </c>
      <c r="O8" s="40" t="s">
        <v>21</v>
      </c>
      <c r="P8" s="41" t="s">
        <v>21</v>
      </c>
      <c r="Q8" s="42" t="s">
        <v>23</v>
      </c>
      <c r="R8" s="24"/>
      <c r="U8" s="25">
        <f>COUNT('All Data'!D31:D37)</f>
        <v>7</v>
      </c>
      <c r="V8" s="25">
        <f>SUM('All Data'!D31:D37)</f>
        <v>560</v>
      </c>
      <c r="W8" s="25">
        <f>SUM('All Data'!F31:F37)</f>
        <v>1680</v>
      </c>
    </row>
    <row r="9" spans="1:23" ht="14.25" customHeight="1" x14ac:dyDescent="0.35">
      <c r="A9" s="2">
        <v>7</v>
      </c>
      <c r="B9" s="26" t="s">
        <v>31</v>
      </c>
      <c r="C9" s="14">
        <v>530</v>
      </c>
      <c r="D9" s="14">
        <v>3</v>
      </c>
      <c r="E9" s="14">
        <f>C9*D9</f>
        <v>1590</v>
      </c>
      <c r="F9" s="15">
        <v>18</v>
      </c>
      <c r="G9" s="15">
        <v>120</v>
      </c>
      <c r="H9" s="15">
        <v>40</v>
      </c>
      <c r="I9" s="27">
        <v>490</v>
      </c>
      <c r="J9" s="28">
        <f>SUMPRODUCT(ABS('All Data'!J90:J94-'All Data'!D90:D94))/$V9</f>
        <v>7.5471698113207544E-2</v>
      </c>
      <c r="K9" s="29">
        <f>IF($U9&lt;2,"N/A (n=1)",TINV(0.05,$U9-1)*SQRT($U9*SUMPRODUCT((ABS('All Data'!J90:J94-'All Data'!D90:D94)-$J9*'All Data'!D90:D94)^2)/(($U9-1)*$V9^2)))</f>
        <v>0.12520717122674596</v>
      </c>
      <c r="L9" s="14">
        <v>1582.4889000000001</v>
      </c>
      <c r="M9" s="28">
        <f>SUMPRODUCT(ABS('All Data'!K90:K94-'All Data'!F90:F94))/$W9</f>
        <v>6.8616037735849067E-2</v>
      </c>
      <c r="N9" s="30">
        <f>IF($U9&lt;2,"N/A (n=1)",TINV(0.05,$U9-1)*SQRT($U9*SUMPRODUCT((ABS('All Data'!K90:K94-'All Data'!F90:F94)-$M9*'All Data'!F90:F94)^2)/(($U9-1)*$W9^2)))</f>
        <v>7.6269101867805597E-2</v>
      </c>
      <c r="O9" s="31" t="s">
        <v>21</v>
      </c>
      <c r="P9" s="32" t="s">
        <v>21</v>
      </c>
      <c r="Q9" s="33" t="s">
        <v>23</v>
      </c>
      <c r="R9" s="24"/>
      <c r="U9" s="25">
        <f>COUNT('All Data'!D90:D94)</f>
        <v>5</v>
      </c>
      <c r="V9" s="25">
        <f>SUM('All Data'!D90:D94)</f>
        <v>530</v>
      </c>
      <c r="W9" s="25">
        <f>SUM('All Data'!F90:F94)</f>
        <v>1590</v>
      </c>
    </row>
    <row r="10" spans="1:23" ht="14.25" customHeight="1" x14ac:dyDescent="0.35">
      <c r="A10" s="2">
        <v>8</v>
      </c>
      <c r="B10" s="34" t="s">
        <v>32</v>
      </c>
      <c r="C10" s="35">
        <v>400</v>
      </c>
      <c r="D10" s="35">
        <v>3</v>
      </c>
      <c r="E10" s="35">
        <v>1200</v>
      </c>
      <c r="F10" s="35">
        <v>18</v>
      </c>
      <c r="G10" s="35">
        <v>120</v>
      </c>
      <c r="H10" s="35">
        <v>40</v>
      </c>
      <c r="I10" s="36">
        <v>403</v>
      </c>
      <c r="J10" s="37">
        <f>SUMPRODUCT(ABS('All Data'!J10:J14-'All Data'!D10:D14))/$V10</f>
        <v>7.4999999999999997E-3</v>
      </c>
      <c r="K10" s="38">
        <f>IF($U10&lt;2,"N/A (n=1)",TINV(0.05,$U10-1)*SQRT($U10*SUMPRODUCT((ABS('All Data'!J10:J14-'All Data'!D10:D14)-$J10*'All Data'!D10:D14)^2)/(($U10-1)*$V10^2)))</f>
        <v>1.3882225525988967E-2</v>
      </c>
      <c r="L10" s="35">
        <v>1252.7102</v>
      </c>
      <c r="M10" s="37">
        <f>SUMPRODUCT(ABS('All Data'!K10:K14-'All Data'!F10:F14))/$W10</f>
        <v>4.3925166666666654E-2</v>
      </c>
      <c r="N10" s="39">
        <f>IF($U10&lt;2,"N/A (n=1)",TINV(0.05,$U10-1)*SQRT($U10*SUMPRODUCT((ABS('All Data'!K10:K14-'All Data'!F10:F14)-$M10*'All Data'!F10:F14)^2)/(($U10-1)*$W10^2)))</f>
        <v>7.2025225521070739E-3</v>
      </c>
      <c r="O10" s="40" t="s">
        <v>21</v>
      </c>
      <c r="P10" s="41" t="s">
        <v>21</v>
      </c>
      <c r="Q10" s="42" t="s">
        <v>23</v>
      </c>
      <c r="R10" s="24"/>
      <c r="U10" s="25">
        <f>COUNT('All Data'!D10:D14)</f>
        <v>5</v>
      </c>
      <c r="V10" s="25">
        <f>SUM('All Data'!D10:D14)</f>
        <v>400</v>
      </c>
      <c r="W10" s="25">
        <f>SUM('All Data'!F10:F14)</f>
        <v>1200</v>
      </c>
    </row>
    <row r="11" spans="1:23" ht="14.25" customHeight="1" x14ac:dyDescent="0.35">
      <c r="A11" s="2">
        <v>9</v>
      </c>
      <c r="B11" s="26" t="s">
        <v>33</v>
      </c>
      <c r="C11" s="14">
        <v>536</v>
      </c>
      <c r="D11" s="14">
        <v>3</v>
      </c>
      <c r="E11" s="14">
        <f>C11*D11</f>
        <v>1608</v>
      </c>
      <c r="F11" s="15">
        <v>18</v>
      </c>
      <c r="G11" s="15">
        <v>120</v>
      </c>
      <c r="H11" s="15">
        <v>40</v>
      </c>
      <c r="I11" s="27">
        <v>505</v>
      </c>
      <c r="J11" s="28">
        <f>SUMPRODUCT(ABS('All Data'!J96:J103-'All Data'!D96:D103))/$V11</f>
        <v>6.1567164179104475E-2</v>
      </c>
      <c r="K11" s="29">
        <f>IF($U11&lt;2,"N/A (n=1)",TINV(0.05,$U11-1)*SQRT($U11*SUMPRODUCT((ABS('All Data'!J96:J103-'All Data'!D96:D103)-$J11*'All Data'!D96:D103)^2)/(($U11-1)*$V11^2)))</f>
        <v>5.7005772692634633E-2</v>
      </c>
      <c r="L11" s="14">
        <v>1450.9639</v>
      </c>
      <c r="M11" s="28">
        <f>SUMPRODUCT(ABS('All Data'!K96:K103-'All Data'!F96:F103))/$W11</f>
        <v>0.11488687810945274</v>
      </c>
      <c r="N11" s="30">
        <f>IF($U11&lt;2,"N/A (n=1)",TINV(0.05,$U11-1)*SQRT($U11*SUMPRODUCT((ABS('All Data'!K96:K103-'All Data'!F96:F103)-$M11*'All Data'!F96:F103)^2)/(($U11-1)*$W11^2)))</f>
        <v>7.0429889886480135E-2</v>
      </c>
      <c r="O11" s="31" t="s">
        <v>21</v>
      </c>
      <c r="P11" s="43" t="s">
        <v>21</v>
      </c>
      <c r="Q11" s="44" t="s">
        <v>23</v>
      </c>
      <c r="R11" s="24"/>
      <c r="U11" s="25">
        <f>COUNT('All Data'!D96:D103)</f>
        <v>8</v>
      </c>
      <c r="V11" s="25">
        <f>SUM('All Data'!D96:D103)</f>
        <v>536</v>
      </c>
      <c r="W11" s="25">
        <f>SUM('All Data'!F96:F103)</f>
        <v>1608</v>
      </c>
    </row>
    <row r="12" spans="1:23" ht="14.25" customHeight="1" x14ac:dyDescent="0.35">
      <c r="A12" s="2">
        <v>10</v>
      </c>
      <c r="B12" s="26" t="s">
        <v>34</v>
      </c>
      <c r="C12" s="14">
        <v>240</v>
      </c>
      <c r="D12" s="14">
        <v>3</v>
      </c>
      <c r="E12" s="14">
        <f>C12*D12</f>
        <v>720</v>
      </c>
      <c r="F12" s="15">
        <v>18</v>
      </c>
      <c r="G12" s="15">
        <v>120</v>
      </c>
      <c r="H12" s="15">
        <v>40</v>
      </c>
      <c r="I12" s="27">
        <v>236</v>
      </c>
      <c r="J12" s="28">
        <f>SUMPRODUCT(ABS('All Data'!J105:J107-'All Data'!D105:D107))/$V12</f>
        <v>1.6666666666666666E-2</v>
      </c>
      <c r="K12" s="29">
        <f>IF($U12&lt;2,"N/A (n=1)",TINV(0.05,$U12-1)*SQRT($U12*SUMPRODUCT((ABS('All Data'!J105:J107-'All Data'!D105:D107)-$J12*'All Data'!D105:D107)^2)/(($U12-1)*$V12^2)))</f>
        <v>7.171087882915772E-2</v>
      </c>
      <c r="L12" s="14">
        <v>762.31349999999998</v>
      </c>
      <c r="M12" s="28">
        <f>SUMPRODUCT(ABS('All Data'!K105:K107-'All Data'!F105:F107))/$W12</f>
        <v>8.9564861111111047E-2</v>
      </c>
      <c r="N12" s="30">
        <f>IF($U12&lt;2,"N/A (n=1)",TINV(0.05,$U12-1)*SQRT($U12*SUMPRODUCT((ABS('All Data'!K105:K107-'All Data'!F105:F107)-$M12*'All Data'!F105:F107)^2)/(($U12-1)*$W12^2)))</f>
        <v>9.3785673326711991E-2</v>
      </c>
      <c r="O12" s="31" t="s">
        <v>21</v>
      </c>
      <c r="P12" s="32" t="s">
        <v>21</v>
      </c>
      <c r="Q12" s="33" t="s">
        <v>23</v>
      </c>
      <c r="R12" s="24"/>
      <c r="U12" s="25">
        <f>COUNT('All Data'!D105:D107)</f>
        <v>3</v>
      </c>
      <c r="V12" s="25">
        <f>SUM('All Data'!D105:D107)</f>
        <v>240</v>
      </c>
      <c r="W12" s="25">
        <f>SUM('All Data'!F105:F107)</f>
        <v>720</v>
      </c>
    </row>
    <row r="13" spans="1:23" ht="14.25" customHeight="1" x14ac:dyDescent="0.35">
      <c r="A13" s="2">
        <v>11</v>
      </c>
      <c r="B13" s="45" t="s">
        <v>35</v>
      </c>
      <c r="C13" s="5">
        <v>275</v>
      </c>
      <c r="D13" s="5">
        <v>3</v>
      </c>
      <c r="E13" s="5">
        <f>C13*D13</f>
        <v>825</v>
      </c>
      <c r="F13" s="46">
        <v>18</v>
      </c>
      <c r="G13" s="46">
        <v>120</v>
      </c>
      <c r="H13" s="46">
        <v>40</v>
      </c>
      <c r="I13" s="4">
        <v>271</v>
      </c>
      <c r="J13" s="47">
        <f>SUMPRODUCT(ABS('All Data'!J109:J113-'All Data'!D109:D113))/$V13</f>
        <v>2.181818181818182E-2</v>
      </c>
      <c r="K13" s="48">
        <f>IF($U13&lt;2,"N/A (n=1)",TINV(0.05,$U13-1)*SQRT($U13*SUMPRODUCT((ABS('All Data'!J109:J113-'All Data'!D109:D113)-$J13*'All Data'!D109:D113)^2)/(($U13-1)*$V13^2)))</f>
        <v>2.8596061803234537E-2</v>
      </c>
      <c r="L13" s="5">
        <v>855.35649999999998</v>
      </c>
      <c r="M13" s="47">
        <f>SUMPRODUCT(ABS('All Data'!K109:K113-'All Data'!F109:F113))/$W13</f>
        <v>3.6795757575757572E-2</v>
      </c>
      <c r="N13" s="49">
        <f>IF($U13&lt;2,"N/A (n=1)",TINV(0.05,$U13-1)*SQRT($U13*SUMPRODUCT((ABS('All Data'!K109:K113-'All Data'!F109:F113)-$M13*'All Data'!F109:F113)^2)/(($U13-1)*$W13^2)))</f>
        <v>2.9677878324783066E-2</v>
      </c>
      <c r="O13" s="50" t="s">
        <v>21</v>
      </c>
      <c r="P13" s="51" t="s">
        <v>21</v>
      </c>
      <c r="Q13" s="52" t="s">
        <v>23</v>
      </c>
      <c r="R13" s="24"/>
      <c r="U13" s="25">
        <f>COUNT('All Data'!D109:D113)</f>
        <v>5</v>
      </c>
      <c r="V13" s="25">
        <f>SUM('All Data'!D109:D113)</f>
        <v>275</v>
      </c>
      <c r="W13" s="25">
        <f>SUM('All Data'!F109:F113)</f>
        <v>825</v>
      </c>
    </row>
    <row r="14" spans="1:23" ht="15" customHeight="1" x14ac:dyDescent="0.35">
      <c r="A14" s="2">
        <v>12</v>
      </c>
      <c r="B14" s="53" t="s">
        <v>36</v>
      </c>
      <c r="C14" s="54">
        <v>185</v>
      </c>
      <c r="D14" s="54">
        <v>3</v>
      </c>
      <c r="E14" s="54">
        <v>555</v>
      </c>
      <c r="F14" s="55">
        <v>18</v>
      </c>
      <c r="G14" s="55">
        <v>120</v>
      </c>
      <c r="H14" s="55">
        <v>40</v>
      </c>
      <c r="I14" s="56">
        <v>185</v>
      </c>
      <c r="J14" s="57">
        <f>SUMPRODUCT(ABS('All Data'!J54:J56-'All Data'!D54:D56))/$V14</f>
        <v>0</v>
      </c>
      <c r="K14" s="58">
        <f>IF($U14&lt;2,"N/A (n=1)",TINV(0.05,$U14-1)*SQRT($U14*SUMPRODUCT((ABS('All Data'!J54:J56-'All Data'!D54:D56)-$J14*'All Data'!D54:D56)^2)/(($U14-1)*$V14^2)))</f>
        <v>0</v>
      </c>
      <c r="L14" s="54">
        <v>550.91639999999995</v>
      </c>
      <c r="M14" s="57">
        <f>SUMPRODUCT(ABS('All Data'!K54:K56-'All Data'!F54:F56))/$W14</f>
        <v>7.3578378378378198E-3</v>
      </c>
      <c r="N14" s="59">
        <f>IF($U14&lt;2,"N/A (n=1)",TINV(0.05,$U14-1)*SQRT($U14*SUMPRODUCT((ABS('All Data'!K54:K56-'All Data'!F54:F56)-$M14*'All Data'!F54:F56)^2)/(($U14-1)*$W14^2)))</f>
        <v>1.7134967082595157E-2</v>
      </c>
      <c r="O14" s="60" t="s">
        <v>22</v>
      </c>
      <c r="P14" s="55" t="s">
        <v>22</v>
      </c>
      <c r="Q14" s="42" t="s">
        <v>37</v>
      </c>
      <c r="U14" s="25">
        <f>COUNT('All Data'!D54:D56)</f>
        <v>3</v>
      </c>
      <c r="V14" s="25">
        <f>SUM('All Data'!D54:D56)</f>
        <v>185</v>
      </c>
      <c r="W14" s="25">
        <f>SUM('All Data'!F54:F56)</f>
        <v>555</v>
      </c>
    </row>
    <row r="15" spans="1:23" ht="15" customHeight="1" x14ac:dyDescent="0.35">
      <c r="A15" s="2">
        <v>13</v>
      </c>
      <c r="B15" s="26" t="s">
        <v>38</v>
      </c>
      <c r="C15" s="43">
        <v>360</v>
      </c>
      <c r="D15" s="14">
        <v>3</v>
      </c>
      <c r="E15" s="14">
        <f>C15*D15</f>
        <v>1080</v>
      </c>
      <c r="F15" s="15">
        <v>18</v>
      </c>
      <c r="G15" s="15">
        <v>120</v>
      </c>
      <c r="H15" s="15">
        <v>40</v>
      </c>
      <c r="I15" s="31">
        <v>357</v>
      </c>
      <c r="J15" s="28">
        <f>SUMPRODUCT(ABS('All Data'!J115:J123-'All Data'!D115:D123))/$V15</f>
        <v>1.3888888888888888E-2</v>
      </c>
      <c r="K15" s="29">
        <f>IF($U15&lt;2,"N/A (n=1)",TINV(0.05,$U15-1)*SQRT($U15*SUMPRODUCT((ABS('All Data'!J115:J123-'All Data'!D115:D123)-$J15*'All Data'!D115:D123)^2)/(($U15-1)*$V15^2)))</f>
        <v>2.5622268168935196E-2</v>
      </c>
      <c r="L15" s="14">
        <v>1062.3376000000001</v>
      </c>
      <c r="M15" s="28">
        <f>SUMPRODUCT(ABS('All Data'!K115:K123-'All Data'!F115:F123))/$W15</f>
        <v>3.3045925925925937E-2</v>
      </c>
      <c r="N15" s="30">
        <f>IF($U15&lt;2,"N/A (n=1)",TINV(0.05,$U15-1)*SQRT($U15*SUMPRODUCT((ABS('All Data'!K115:K123-'All Data'!F115:F123)-$M15*'All Data'!F115:F123)^2)/(($U15-1)*$W15^2)))</f>
        <v>3.5206240442425547E-2</v>
      </c>
      <c r="O15" s="31" t="s">
        <v>21</v>
      </c>
      <c r="P15" s="32" t="s">
        <v>22</v>
      </c>
      <c r="Q15" s="33" t="s">
        <v>23</v>
      </c>
      <c r="U15" s="25">
        <f>COUNT('All Data'!D115:D123)</f>
        <v>9</v>
      </c>
      <c r="V15" s="25">
        <f>SUM('All Data'!D115:D123)</f>
        <v>360</v>
      </c>
      <c r="W15" s="25">
        <f>SUM('All Data'!F115:F123)</f>
        <v>1080</v>
      </c>
    </row>
    <row r="16" spans="1:23" ht="15" customHeight="1" x14ac:dyDescent="0.35">
      <c r="A16" s="2">
        <v>14</v>
      </c>
      <c r="B16" s="34" t="s">
        <v>39</v>
      </c>
      <c r="C16" s="35">
        <v>480</v>
      </c>
      <c r="D16" s="35">
        <v>3</v>
      </c>
      <c r="E16" s="35">
        <v>1440</v>
      </c>
      <c r="F16" s="41">
        <v>18</v>
      </c>
      <c r="G16" s="41">
        <v>120</v>
      </c>
      <c r="H16" s="41">
        <v>40</v>
      </c>
      <c r="I16" s="36">
        <v>480</v>
      </c>
      <c r="J16" s="37">
        <f>SUMPRODUCT(ABS('All Data'!J47:J52-'All Data'!D47:D52))/$V16</f>
        <v>0</v>
      </c>
      <c r="K16" s="38">
        <f>IF($U16&lt;2,"N/A (n=1)",TINV(0.05,$U16-1)*SQRT($U16*SUMPRODUCT((ABS('All Data'!J47:J52-'All Data'!D47:D52)-$J16*'All Data'!D47:D52)^2)/(($U16-1)*$V16^2)))</f>
        <v>0</v>
      </c>
      <c r="L16" s="35">
        <v>1481.2302999999999</v>
      </c>
      <c r="M16" s="37">
        <f>SUMPRODUCT(ABS('All Data'!K47:K52-'All Data'!F47:F52))/$W16</f>
        <v>2.8632152777777777E-2</v>
      </c>
      <c r="N16" s="39">
        <f>IF($U16&lt;2,"N/A (n=1)",TINV(0.05,$U16-1)*SQRT($U16*SUMPRODUCT((ABS('All Data'!K47:K52-'All Data'!F47:F52)-$M16*'All Data'!F47:F52)^2)/(($U16-1)*$W16^2)))</f>
        <v>1.4821302571350638E-3</v>
      </c>
      <c r="O16" s="40" t="s">
        <v>21</v>
      </c>
      <c r="P16" s="41" t="s">
        <v>22</v>
      </c>
      <c r="Q16" s="42" t="s">
        <v>40</v>
      </c>
      <c r="U16" s="25">
        <f>COUNT('All Data'!D47:D52)</f>
        <v>6</v>
      </c>
      <c r="V16" s="25">
        <f>SUM('All Data'!D47:D52)</f>
        <v>480</v>
      </c>
      <c r="W16" s="25">
        <f>SUM('All Data'!F47:F52)</f>
        <v>1440</v>
      </c>
    </row>
    <row r="17" spans="1:23" ht="15" customHeight="1" x14ac:dyDescent="0.35">
      <c r="A17" s="2">
        <v>15</v>
      </c>
      <c r="B17" s="34" t="s">
        <v>41</v>
      </c>
      <c r="C17" s="35">
        <v>455</v>
      </c>
      <c r="D17" s="35">
        <v>3</v>
      </c>
      <c r="E17" s="35">
        <v>1365</v>
      </c>
      <c r="F17" s="35">
        <v>18</v>
      </c>
      <c r="G17" s="35">
        <v>120</v>
      </c>
      <c r="H17" s="35">
        <v>40</v>
      </c>
      <c r="I17" s="36">
        <v>449</v>
      </c>
      <c r="J17" s="37">
        <f>SUMPRODUCT(ABS('All Data'!J24:J29-'All Data'!D24:D29))/$V17</f>
        <v>2.6373626373626374E-2</v>
      </c>
      <c r="K17" s="38">
        <f>IF($U17&lt;2,"N/A (n=1)",TINV(0.05,$U17-1)*SQRT($U17*SUMPRODUCT((ABS('All Data'!J24:J29-'All Data'!D24:D29)-$J17*'All Data'!D24:D29)^2)/(($U17-1)*$V17^2)))</f>
        <v>1.5610502465121141E-2</v>
      </c>
      <c r="L17" s="35">
        <v>1395.8214</v>
      </c>
      <c r="M17" s="37">
        <f>SUMPRODUCT(ABS('All Data'!K24:K29-'All Data'!F24:F29))/$W17</f>
        <v>2.5857582417582403E-2</v>
      </c>
      <c r="N17" s="39">
        <f>IF($U17&lt;2,"N/A (n=1)",TINV(0.05,$U17-1)*SQRT($U17*SUMPRODUCT((ABS('All Data'!K24:K29-'All Data'!F24:F29)-$M17*'All Data'!F24:F29)^2)/(($U17-1)*$W17^2)))</f>
        <v>2.1006455007359915E-2</v>
      </c>
      <c r="O17" s="40" t="s">
        <v>21</v>
      </c>
      <c r="P17" s="41" t="s">
        <v>21</v>
      </c>
      <c r="Q17" s="42" t="s">
        <v>23</v>
      </c>
      <c r="U17" s="25">
        <f>COUNT('All Data'!D24:D29)</f>
        <v>6</v>
      </c>
      <c r="V17" s="25">
        <f>SUM('All Data'!D24:D29)</f>
        <v>455</v>
      </c>
      <c r="W17" s="25">
        <f>SUM('All Data'!F24:F29)</f>
        <v>1365</v>
      </c>
    </row>
    <row r="18" spans="1:23" ht="15" customHeight="1" x14ac:dyDescent="0.35">
      <c r="A18" s="2">
        <v>16</v>
      </c>
      <c r="B18" s="26" t="s">
        <v>42</v>
      </c>
      <c r="C18" s="43">
        <v>1049</v>
      </c>
      <c r="D18" s="14">
        <v>3</v>
      </c>
      <c r="E18" s="14">
        <f>C18*D18</f>
        <v>3147</v>
      </c>
      <c r="F18" s="15">
        <v>18</v>
      </c>
      <c r="G18" s="15">
        <v>120</v>
      </c>
      <c r="H18" s="15">
        <v>40</v>
      </c>
      <c r="I18" s="31">
        <v>1013</v>
      </c>
      <c r="J18" s="28">
        <f>SUMPRODUCT(ABS('All Data'!J125:J135-'All Data'!D125:D135))/$V18</f>
        <v>5.3384175405147762E-2</v>
      </c>
      <c r="K18" s="29">
        <f>IF($U18&lt;2,"N/A (n=1)",TINV(0.05,$U18-1)*SQRT($U18*SUMPRODUCT((ABS('All Data'!J125:J135-'All Data'!D125:D135)-$J18*'All Data'!D125:D135)^2)/(($U18-1)*$V18^2)))</f>
        <v>6.7445933402897257E-2</v>
      </c>
      <c r="L18" s="14">
        <v>3210.8442</v>
      </c>
      <c r="M18" s="28">
        <f>SUMPRODUCT(ABS('All Data'!K125:K135-'All Data'!F125:F135))/$W18</f>
        <v>0.10805681601525266</v>
      </c>
      <c r="N18" s="30">
        <f>IF($U18&lt;2,"N/A (n=1)",TINV(0.05,$U18-1)*SQRT($U18*SUMPRODUCT((ABS('All Data'!K125:K135-'All Data'!F125:F135)-$M18*'All Data'!F125:F135)^2)/(($U18-1)*$W18^2)))</f>
        <v>6.5920390651407604E-2</v>
      </c>
      <c r="O18" s="31" t="s">
        <v>21</v>
      </c>
      <c r="P18" s="32" t="s">
        <v>21</v>
      </c>
      <c r="Q18" s="33" t="s">
        <v>23</v>
      </c>
      <c r="U18" s="25">
        <f>COUNT('All Data'!D125:D135)</f>
        <v>11</v>
      </c>
      <c r="V18" s="25">
        <f>SUM('All Data'!D125:D135)</f>
        <v>1049</v>
      </c>
      <c r="W18" s="25">
        <f>SUM('All Data'!F125:F135)</f>
        <v>3147</v>
      </c>
    </row>
    <row r="19" spans="1:23" ht="15" customHeight="1" x14ac:dyDescent="0.35">
      <c r="A19" s="2">
        <v>17</v>
      </c>
      <c r="B19" s="26" t="s">
        <v>43</v>
      </c>
      <c r="C19" s="43">
        <v>1000</v>
      </c>
      <c r="D19" s="14">
        <v>3</v>
      </c>
      <c r="E19" s="14">
        <f>C19*D19</f>
        <v>3000</v>
      </c>
      <c r="F19" s="15">
        <v>18</v>
      </c>
      <c r="G19" s="15">
        <v>120</v>
      </c>
      <c r="H19" s="15">
        <v>40</v>
      </c>
      <c r="I19" s="31">
        <v>1004</v>
      </c>
      <c r="J19" s="28">
        <f>SUMPRODUCT(ABS('All Data'!J137:J161-'All Data'!D137:D161))/$V19</f>
        <v>6.0000000000000001E-3</v>
      </c>
      <c r="K19" s="29">
        <f>IF($U19&lt;2,"N/A (n=1)",TINV(0.05,$U19-1)*SQRT($U19*SUMPRODUCT((ABS('All Data'!J137:J161-'All Data'!D137:D161)-$J19*'All Data'!D137:D161)^2)/(($U19-1)*$V19^2)))</f>
        <v>5.3951640101776877E-3</v>
      </c>
      <c r="L19" s="14">
        <v>3249.2352999999998</v>
      </c>
      <c r="M19" s="28">
        <f>SUMPRODUCT(ABS('All Data'!K137:K161-'All Data'!F137:F161))/$W19</f>
        <v>8.3078433333333326E-2</v>
      </c>
      <c r="N19" s="30">
        <f>IF($U19&lt;2,"N/A (n=1)",TINV(0.05,$U19-1)*SQRT($U19*SUMPRODUCT((ABS('All Data'!K137:K161-'All Data'!F137:F161)-$M19*'All Data'!F137:F161)^2)/(($U19-1)*$W19^2)))</f>
        <v>8.1238308972333955E-3</v>
      </c>
      <c r="O19" s="31" t="s">
        <v>21</v>
      </c>
      <c r="P19" s="32" t="s">
        <v>21</v>
      </c>
      <c r="Q19" s="33" t="s">
        <v>23</v>
      </c>
      <c r="U19" s="25">
        <f>COUNT('All Data'!D137:D161)</f>
        <v>25</v>
      </c>
      <c r="V19" s="25">
        <f>SUM('All Data'!D137:D161)</f>
        <v>1000</v>
      </c>
      <c r="W19" s="25">
        <f>SUM('All Data'!F137:F161)</f>
        <v>3000</v>
      </c>
    </row>
    <row r="20" spans="1:23" ht="15" customHeight="1" x14ac:dyDescent="0.35">
      <c r="A20" s="2">
        <v>18</v>
      </c>
      <c r="B20" s="34" t="s">
        <v>44</v>
      </c>
      <c r="C20" s="35">
        <v>80</v>
      </c>
      <c r="D20" s="35">
        <v>3</v>
      </c>
      <c r="E20" s="35">
        <v>240</v>
      </c>
      <c r="F20" s="41">
        <v>18</v>
      </c>
      <c r="G20" s="41">
        <v>120</v>
      </c>
      <c r="H20" s="41">
        <v>40</v>
      </c>
      <c r="I20" s="36">
        <v>80</v>
      </c>
      <c r="J20" s="37">
        <f>SUMPRODUCT(ABS('All Data'!J58:J58-'All Data'!D58:D58))/$V20</f>
        <v>0</v>
      </c>
      <c r="K20" s="38" t="str">
        <f>IF($U20&lt;2,"N/A (n=1)",TINV(0.05,$U20-1)*SQRT($U20*SUMPRODUCT((ABS('All Data'!J58:J58-'All Data'!D58:D58)-$J20*'All Data'!D58:D58)^2)/(($U20-1)*$V20^2)))</f>
        <v>N/A (n=1)</v>
      </c>
      <c r="L20" s="35">
        <v>285.35829999999999</v>
      </c>
      <c r="M20" s="37">
        <f>SUMPRODUCT(ABS('All Data'!K58:K58-'All Data'!F58:F58))/$W20</f>
        <v>0.18899291666666659</v>
      </c>
      <c r="N20" s="39" t="str">
        <f>IF($U20&lt;2,"N/A (n=1)",TINV(0.05,$U20-1)*SQRT($U20*SUMPRODUCT((ABS('All Data'!K58:K58-'All Data'!F58:F58)-$M20*'All Data'!F58:F58)^2)/(($U20-1)*$W20^2)))</f>
        <v>N/A (n=1)</v>
      </c>
      <c r="O20" s="40" t="s">
        <v>22</v>
      </c>
      <c r="P20" s="41" t="s">
        <v>22</v>
      </c>
      <c r="Q20" s="42" t="s">
        <v>37</v>
      </c>
      <c r="U20" s="25">
        <f>COUNT('All Data'!D58:D58)</f>
        <v>1</v>
      </c>
      <c r="V20" s="25">
        <f>SUM('All Data'!D58:D58)</f>
        <v>80</v>
      </c>
      <c r="W20" s="25">
        <f>SUM('All Data'!F58:F58)</f>
        <v>240</v>
      </c>
    </row>
    <row r="21" spans="1:23" ht="15" customHeight="1" x14ac:dyDescent="0.35">
      <c r="A21" s="2">
        <v>19</v>
      </c>
      <c r="B21" s="26" t="s">
        <v>45</v>
      </c>
      <c r="C21" s="43">
        <v>240</v>
      </c>
      <c r="D21" s="14">
        <v>3</v>
      </c>
      <c r="E21" s="14">
        <f>C21*D21</f>
        <v>720</v>
      </c>
      <c r="F21" s="15">
        <v>18</v>
      </c>
      <c r="G21" s="15">
        <v>120</v>
      </c>
      <c r="H21" s="15">
        <v>40</v>
      </c>
      <c r="I21" s="31">
        <v>240</v>
      </c>
      <c r="J21" s="28">
        <f>SUMPRODUCT(ABS('All Data'!J163:J168-'All Data'!D163:D168))/$V21</f>
        <v>0</v>
      </c>
      <c r="K21" s="29">
        <f>IF($U21&lt;2,"N/A (n=1)",TINV(0.05,$U21-1)*SQRT($U21*SUMPRODUCT((ABS('All Data'!J163:J168-'All Data'!D163:D168)-$J21*'All Data'!D163:D168)^2)/(($U21-1)*$V21^2)))</f>
        <v>0</v>
      </c>
      <c r="L21" s="32">
        <v>772.41949999999997</v>
      </c>
      <c r="M21" s="28">
        <f>SUMPRODUCT(ABS('All Data'!K163:K168-'All Data'!F163:F168))/$W21</f>
        <v>7.2804861111111105E-2</v>
      </c>
      <c r="N21" s="30">
        <f>IF($U21&lt;2,"N/A (n=1)",TINV(0.05,$U21-1)*SQRT($U21*SUMPRODUCT((ABS('All Data'!K163:K168-'All Data'!F163:F168)-$M21*'All Data'!F163:F168)^2)/(($U21-1)*$W21^2)))</f>
        <v>6.8526075751662073E-3</v>
      </c>
      <c r="O21" s="31" t="s">
        <v>21</v>
      </c>
      <c r="P21" s="32" t="s">
        <v>22</v>
      </c>
      <c r="Q21" s="33" t="s">
        <v>23</v>
      </c>
      <c r="U21" s="25">
        <f>COUNT('All Data'!D163:D168)</f>
        <v>6</v>
      </c>
      <c r="V21" s="25">
        <f>SUM('All Data'!D163:D168)</f>
        <v>240</v>
      </c>
      <c r="W21" s="25">
        <f>SUM('All Data'!F163:F168)</f>
        <v>720</v>
      </c>
    </row>
    <row r="22" spans="1:23" ht="15" customHeight="1" x14ac:dyDescent="0.35">
      <c r="A22" s="2">
        <v>20</v>
      </c>
      <c r="B22" s="26" t="s">
        <v>46</v>
      </c>
      <c r="C22" s="43">
        <v>600</v>
      </c>
      <c r="D22" s="14">
        <v>3</v>
      </c>
      <c r="E22" s="14">
        <f>C22*D22</f>
        <v>1800</v>
      </c>
      <c r="F22" s="15">
        <v>18</v>
      </c>
      <c r="G22" s="15">
        <v>120</v>
      </c>
      <c r="H22" s="15">
        <v>40</v>
      </c>
      <c r="I22" s="31">
        <v>604</v>
      </c>
      <c r="J22" s="28">
        <f>SUMPRODUCT(ABS('All Data'!J170:J184-'All Data'!D170:D184))/$V22</f>
        <v>6.6666666666666671E-3</v>
      </c>
      <c r="K22" s="29">
        <f>IF($U22&lt;2,"N/A (n=1)",TINV(0.05,$U22-1)*SQRT($U22*SUMPRODUCT((ABS('All Data'!J170:J184-'All Data'!D170:D184)-$J22*'All Data'!D170:D184)^2)/(($U22-1)*$V22^2)))</f>
        <v>8.2183512147628434E-3</v>
      </c>
      <c r="L22" s="32">
        <v>1952.5325</v>
      </c>
      <c r="M22" s="28">
        <f>SUMPRODUCT(ABS('All Data'!K170:K184-'All Data'!F170:F184))/$W22</f>
        <v>8.4740277777777762E-2</v>
      </c>
      <c r="N22" s="30">
        <f>IF($U22&lt;2,"N/A (n=1)",TINV(0.05,$U22-1)*SQRT($U22*SUMPRODUCT((ABS('All Data'!K170:K184-'All Data'!F170:F184)-$M22*'All Data'!F170:F184)^2)/(($U22-1)*$W22^2)))</f>
        <v>9.0885021495733468E-3</v>
      </c>
      <c r="O22" s="31" t="s">
        <v>21</v>
      </c>
      <c r="P22" s="32" t="s">
        <v>21</v>
      </c>
      <c r="Q22" s="33" t="s">
        <v>37</v>
      </c>
      <c r="U22" s="25">
        <f>COUNT('All Data'!D170:D184)</f>
        <v>15</v>
      </c>
      <c r="V22" s="25">
        <f>SUM('All Data'!D170:D184)</f>
        <v>600</v>
      </c>
      <c r="W22" s="25">
        <f>SUM('All Data'!F170:F184)</f>
        <v>1800</v>
      </c>
    </row>
    <row r="23" spans="1:23" ht="15" customHeight="1" x14ac:dyDescent="0.35">
      <c r="A23" s="2">
        <v>21</v>
      </c>
      <c r="B23" s="26" t="s">
        <v>47</v>
      </c>
      <c r="C23" s="43">
        <v>330</v>
      </c>
      <c r="D23" s="14">
        <v>3</v>
      </c>
      <c r="E23" s="14">
        <f>C23*D23</f>
        <v>990</v>
      </c>
      <c r="F23" s="15">
        <v>18</v>
      </c>
      <c r="G23" s="15">
        <v>120</v>
      </c>
      <c r="H23" s="15">
        <v>40</v>
      </c>
      <c r="I23" s="31">
        <v>293</v>
      </c>
      <c r="J23" s="28">
        <f>SUMPRODUCT(ABS('All Data'!J237:J242-'All Data'!D237:D242))/$V23</f>
        <v>0.11212121212121212</v>
      </c>
      <c r="K23" s="29">
        <f>IF($U23&lt;2,"N/A (n=1)",TINV(0.05,$U23-1)*SQRT($U23*SUMPRODUCT((ABS('All Data'!J237:J242-'All Data'!D237:D242)-$J23*'All Data'!D237:D242)^2)/(($U23-1)*$V23^2)))</f>
        <v>8.9934399184394428E-2</v>
      </c>
      <c r="L23" s="32">
        <v>880.52009999999996</v>
      </c>
      <c r="M23" s="28">
        <f>SUMPRODUCT(ABS('All Data'!K237:K242-'All Data'!F237:F242))/$W23</f>
        <v>0.14655080808080809</v>
      </c>
      <c r="N23" s="30">
        <f>IF($U23&lt;2,"N/A (n=1)",TINV(0.05,$U23-1)*SQRT($U23*SUMPRODUCT((ABS('All Data'!K237:K242-'All Data'!F237:F242)-$M23*'All Data'!F237:F242)^2)/(($U23-1)*$W23^2)))</f>
        <v>7.9106757000796071E-2</v>
      </c>
      <c r="O23" s="31" t="s">
        <v>21</v>
      </c>
      <c r="P23" s="32" t="s">
        <v>21</v>
      </c>
      <c r="Q23" s="33" t="s">
        <v>37</v>
      </c>
      <c r="U23" s="25">
        <f>COUNT('All Data'!D237:D242)</f>
        <v>6</v>
      </c>
      <c r="V23" s="25">
        <f>SUM('All Data'!D237:D242)</f>
        <v>330</v>
      </c>
      <c r="W23" s="25">
        <f>SUM('All Data'!F237:F242)</f>
        <v>990</v>
      </c>
    </row>
    <row r="24" spans="1:23" ht="15" customHeight="1" x14ac:dyDescent="0.35">
      <c r="A24" s="2">
        <v>22</v>
      </c>
      <c r="B24" s="34" t="s">
        <v>48</v>
      </c>
      <c r="C24" s="35">
        <v>502</v>
      </c>
      <c r="D24" s="35">
        <v>3</v>
      </c>
      <c r="E24" s="35">
        <v>1506</v>
      </c>
      <c r="F24" s="35">
        <v>18</v>
      </c>
      <c r="G24" s="35">
        <v>120</v>
      </c>
      <c r="H24" s="35">
        <v>40</v>
      </c>
      <c r="I24" s="36">
        <v>497</v>
      </c>
      <c r="J24" s="37">
        <f>SUMPRODUCT(ABS('All Data'!J16:J22-'All Data'!D16:D22))/$V24</f>
        <v>1.3944223107569721E-2</v>
      </c>
      <c r="K24" s="38">
        <f>IF($U24&lt;2,"N/A (n=1)",TINV(0.05,$U24-1)*SQRT($U24*SUMPRODUCT((ABS('All Data'!J16:J22-'All Data'!D16:D22)-$J24*'All Data'!D16:D22)^2)/(($U24-1)*$V24^2)))</f>
        <v>2.2914682685636671E-2</v>
      </c>
      <c r="L24" s="35">
        <v>1555.7735</v>
      </c>
      <c r="M24" s="37">
        <f>SUMPRODUCT(ABS('All Data'!K16:K22-'All Data'!F16:F22))/$W24</f>
        <v>3.9820783532536541E-2</v>
      </c>
      <c r="N24" s="39">
        <f>IF($U24&lt;2,"N/A (n=1)",TINV(0.05,$U24-1)*SQRT($U24*SUMPRODUCT((ABS('All Data'!K16:K22-'All Data'!F16:F22)-$M24*'All Data'!F16:F22)^2)/(($U24-1)*$W24^2)))</f>
        <v>1.1759567386177493E-2</v>
      </c>
      <c r="O24" s="40" t="s">
        <v>21</v>
      </c>
      <c r="P24" s="41" t="s">
        <v>21</v>
      </c>
      <c r="Q24" s="42" t="s">
        <v>23</v>
      </c>
      <c r="U24" s="25">
        <f>COUNT('All Data'!D16:D22)</f>
        <v>7</v>
      </c>
      <c r="V24" s="25">
        <f>SUM('All Data'!D16:D22)</f>
        <v>502</v>
      </c>
      <c r="W24" s="25">
        <f>SUM('All Data'!F16:F22)</f>
        <v>1506</v>
      </c>
    </row>
    <row r="25" spans="1:23" ht="15" customHeight="1" x14ac:dyDescent="0.35">
      <c r="A25" s="2">
        <v>23</v>
      </c>
      <c r="B25" s="26" t="s">
        <v>49</v>
      </c>
      <c r="C25" s="43">
        <v>600</v>
      </c>
      <c r="D25" s="14">
        <v>3</v>
      </c>
      <c r="E25" s="14">
        <f>C25*D25</f>
        <v>1800</v>
      </c>
      <c r="F25" s="15">
        <v>18</v>
      </c>
      <c r="G25" s="15">
        <v>120</v>
      </c>
      <c r="H25" s="15">
        <v>40</v>
      </c>
      <c r="I25" s="31">
        <v>601</v>
      </c>
      <c r="J25" s="28">
        <f>SUMPRODUCT(ABS('All Data'!J186:J200-'All Data'!D186:D200))/$V25</f>
        <v>1.1666666666666667E-2</v>
      </c>
      <c r="K25" s="29">
        <f>IF($U25&lt;2,"N/A (n=1)",TINV(0.05,$U25-1)*SQRT($U25*SUMPRODUCT((ABS('All Data'!J186:J200-'All Data'!D186:D200)-$J25*'All Data'!D186:D200)^2)/(($U25-1)*$V25^2)))</f>
        <v>7.1492889597260141E-3</v>
      </c>
      <c r="L25" s="32">
        <v>1951.3244</v>
      </c>
      <c r="M25" s="28">
        <f>SUMPRODUCT(ABS('All Data'!K186:K200-'All Data'!F186:F200))/$W25</f>
        <v>8.4069111111111108E-2</v>
      </c>
      <c r="N25" s="30">
        <f>IF($U25&lt;2,"N/A (n=1)",TINV(0.05,$U25-1)*SQRT($U25*SUMPRODUCT((ABS('All Data'!K186:K200-'All Data'!F186:F200)-$M25*'All Data'!F186:F200)^2)/(($U25-1)*$W25^2)))</f>
        <v>9.32858361615241E-3</v>
      </c>
      <c r="O25" s="31" t="s">
        <v>21</v>
      </c>
      <c r="P25" s="32" t="s">
        <v>21</v>
      </c>
      <c r="Q25" s="33" t="s">
        <v>23</v>
      </c>
      <c r="U25" s="25">
        <f>COUNT('All Data'!D186:D200)</f>
        <v>15</v>
      </c>
      <c r="V25" s="25">
        <f>SUM('All Data'!D186:D200)</f>
        <v>600</v>
      </c>
      <c r="W25" s="25">
        <f>SUM('All Data'!F186:F200)</f>
        <v>1800</v>
      </c>
    </row>
    <row r="26" spans="1:23" ht="15" customHeight="1" x14ac:dyDescent="0.35">
      <c r="A26" s="2">
        <v>24</v>
      </c>
      <c r="B26" s="45" t="s">
        <v>50</v>
      </c>
      <c r="C26" s="61">
        <v>826</v>
      </c>
      <c r="D26" s="5">
        <v>3</v>
      </c>
      <c r="E26" s="5">
        <f>C26*D26</f>
        <v>2478</v>
      </c>
      <c r="F26" s="46">
        <v>18</v>
      </c>
      <c r="G26" s="46">
        <v>120</v>
      </c>
      <c r="H26" s="46">
        <v>40</v>
      </c>
      <c r="I26" s="50">
        <v>818</v>
      </c>
      <c r="J26" s="47">
        <f>SUMPRODUCT(ABS('All Data'!J202:J209-'All Data'!D202:D209))/$V26</f>
        <v>9.6852300242130755E-3</v>
      </c>
      <c r="K26" s="48">
        <f>IF($U26&lt;2,"N/A (n=1)",TINV(0.05,$U26-1)*SQRT($U26*SUMPRODUCT((ABS('All Data'!J202:J209-'All Data'!D202:D209)-$J26*'All Data'!D202:D209)^2)/(($U26-1)*$V26^2)))</f>
        <v>1.4135829857042058E-2</v>
      </c>
      <c r="L26" s="51">
        <v>2636.1053999999999</v>
      </c>
      <c r="M26" s="47">
        <f>SUMPRODUCT(ABS('All Data'!K202:K209-'All Data'!F202:F209))/$W26</f>
        <v>6.38036319612591E-2</v>
      </c>
      <c r="N26" s="49">
        <f>IF($U26&lt;2,"N/A (n=1)",TINV(0.05,$U26-1)*SQRT($U26*SUMPRODUCT((ABS('All Data'!K202:K209-'All Data'!F202:F209)-$M26*'All Data'!F202:F209)^2)/(($U26-1)*$W26^2)))</f>
        <v>1.4843618986465346E-2</v>
      </c>
      <c r="O26" s="50" t="s">
        <v>21</v>
      </c>
      <c r="P26" s="51" t="s">
        <v>21</v>
      </c>
      <c r="Q26" s="52" t="s">
        <v>23</v>
      </c>
      <c r="U26" s="25">
        <f>COUNT('All Data'!D202:D209)</f>
        <v>8</v>
      </c>
      <c r="V26" s="25">
        <f>SUM('All Data'!D202:D209)</f>
        <v>826</v>
      </c>
      <c r="W26" s="25">
        <f>SUM('All Data'!F202:F209)</f>
        <v>2478</v>
      </c>
    </row>
    <row r="27" spans="1:23" ht="15" customHeight="1" x14ac:dyDescent="0.35">
      <c r="D27" s="14"/>
      <c r="E27" s="14"/>
    </row>
    <row r="28" spans="1:23" ht="15" customHeight="1" x14ac:dyDescent="0.35">
      <c r="A28" s="1">
        <v>27</v>
      </c>
      <c r="B28" s="62" t="s">
        <v>51</v>
      </c>
      <c r="C28" s="63">
        <v>400</v>
      </c>
      <c r="D28" s="22">
        <v>3</v>
      </c>
      <c r="E28" s="22">
        <f>C28*D28</f>
        <v>1200</v>
      </c>
      <c r="F28" s="22">
        <v>18</v>
      </c>
      <c r="G28" s="22">
        <v>120</v>
      </c>
      <c r="H28" s="64">
        <v>40</v>
      </c>
      <c r="I28" s="65">
        <v>260</v>
      </c>
      <c r="J28" s="66">
        <f>SUMPRODUCT(ABS('All Data'!J214:J217-'All Data'!D214:D217))/$V28</f>
        <v>0.35</v>
      </c>
      <c r="K28" s="67">
        <f>IF($U28&lt;2,"N/A (n=1)",TINV(0.05,$U28-1)*SQRT($U28*SUMPRODUCT((ABS('All Data'!J214:J217-'All Data'!D214:D217)-$J28*'All Data'!D214:D217)^2)/(($U28-1)*$V28^2)))</f>
        <v>0.58508563443932793</v>
      </c>
      <c r="L28" s="65">
        <v>797.35450000000003</v>
      </c>
      <c r="M28" s="66">
        <f>SUMPRODUCT(ABS('All Data'!K214:K217-'All Data'!F214:F217))/$W28</f>
        <v>0.33553791666666666</v>
      </c>
      <c r="N28" s="67">
        <f>IF($U28&lt;2,"N/A (n=1)",TINV(0.05,$U28-1)*SQRT($U28*SUMPRODUCT((ABS('All Data'!K214:K217-'All Data'!F214:F217)-$M28*'All Data'!F214:F217)^2)/(($U28-1)*$W28^2)))</f>
        <v>0.60007300379811646</v>
      </c>
      <c r="O28" s="63" t="s">
        <v>21</v>
      </c>
      <c r="P28" s="65" t="s">
        <v>21</v>
      </c>
      <c r="Q28" s="68" t="s">
        <v>37</v>
      </c>
      <c r="U28" s="25">
        <f>COUNT('All Data'!D214:D217)</f>
        <v>4</v>
      </c>
      <c r="V28" s="25">
        <f>SUM('All Data'!D214:D217)</f>
        <v>400</v>
      </c>
      <c r="W28" s="25">
        <f>SUM('All Data'!F214:F217)</f>
        <v>1200</v>
      </c>
    </row>
    <row r="29" spans="1:23" ht="15" customHeight="1" x14ac:dyDescent="0.35">
      <c r="A29" s="1">
        <v>28</v>
      </c>
      <c r="B29" s="11" t="s">
        <v>52</v>
      </c>
      <c r="C29" s="69">
        <v>240</v>
      </c>
      <c r="D29" s="15">
        <v>3</v>
      </c>
      <c r="E29" s="15">
        <f>C29*D29</f>
        <v>720</v>
      </c>
      <c r="F29" s="15">
        <v>18</v>
      </c>
      <c r="G29" s="15">
        <v>120</v>
      </c>
      <c r="H29" s="70">
        <v>40</v>
      </c>
      <c r="I29" s="43">
        <v>1</v>
      </c>
      <c r="J29" s="71">
        <f>SUMPRODUCT(ABS('All Data'!J219:J221-'All Data'!D219:D221))/$V29</f>
        <v>0.99583333333333335</v>
      </c>
      <c r="K29" s="72">
        <f>IF($U29&lt;2,"N/A (n=1)",TINV(0.05,$U29-1)*SQRT($U29*SUMPRODUCT((ABS('All Data'!J219:J221-'All Data'!D219:D221)-$J29*'All Data'!D219:D221)^2)/(($U29-1)*$V29^2)))</f>
        <v>1.792771970728943E-2</v>
      </c>
      <c r="L29" s="43">
        <v>0.4032</v>
      </c>
      <c r="M29" s="71">
        <f>SUMPRODUCT(ABS('All Data'!K219:K221-'All Data'!F219:F221))/$W29</f>
        <v>0.99944</v>
      </c>
      <c r="N29" s="72">
        <f>IF($U29&lt;2,"N/A (n=1)",TINV(0.05,$U29-1)*SQRT($U29*SUMPRODUCT((ABS('All Data'!K219:K221-'All Data'!F219:F221)-$M29*'All Data'!F219:F221)^2)/(($U29-1)*$W29^2)))</f>
        <v>2.4094855286596888E-3</v>
      </c>
      <c r="O29" s="69" t="s">
        <v>22</v>
      </c>
      <c r="P29" s="43" t="s">
        <v>22</v>
      </c>
      <c r="Q29" s="33" t="s">
        <v>37</v>
      </c>
      <c r="U29" s="25">
        <f>COUNT('All Data'!D219:D221)</f>
        <v>3</v>
      </c>
      <c r="V29" s="25">
        <f>SUM('All Data'!D219:D221)</f>
        <v>240</v>
      </c>
      <c r="W29" s="25">
        <f>SUM('All Data'!F219:F221)</f>
        <v>720</v>
      </c>
    </row>
    <row r="30" spans="1:23" ht="15" customHeight="1" x14ac:dyDescent="0.35">
      <c r="A30" s="1">
        <v>29</v>
      </c>
      <c r="B30" s="11" t="s">
        <v>53</v>
      </c>
      <c r="C30" s="69">
        <v>650</v>
      </c>
      <c r="D30" s="15">
        <v>3</v>
      </c>
      <c r="E30" s="15">
        <f>C30*D30</f>
        <v>1950</v>
      </c>
      <c r="F30" s="15">
        <v>18</v>
      </c>
      <c r="G30" s="15">
        <v>120</v>
      </c>
      <c r="H30" s="70">
        <v>40</v>
      </c>
      <c r="I30" s="43">
        <v>150</v>
      </c>
      <c r="J30" s="71">
        <f>SUMPRODUCT(ABS('All Data'!J223:J227-'All Data'!D223:D227))/$V30</f>
        <v>0.76923076923076927</v>
      </c>
      <c r="K30" s="72">
        <f>IF($U30&lt;2,"N/A (n=1)",TINV(0.05,$U30-1)*SQRT($U30*SUMPRODUCT((ABS('All Data'!J223:J227-'All Data'!D223:D227)-$J30*'All Data'!D223:D227)^2)/(($U30-1)*$V30^2)))</f>
        <v>5.2789483976450162E-2</v>
      </c>
      <c r="L30" s="43">
        <v>385.39580000000001</v>
      </c>
      <c r="M30" s="71">
        <f>SUMPRODUCT(ABS('All Data'!K223:K227-'All Data'!F223:F227))/$W30</f>
        <v>0.80236112820512828</v>
      </c>
      <c r="N30" s="72">
        <f>IF($U30&lt;2,"N/A (n=1)",TINV(0.05,$U30-1)*SQRT($U30*SUMPRODUCT((ABS('All Data'!K223:K227-'All Data'!F223:F227)-$M30*'All Data'!F223:F227)^2)/(($U30-1)*$W30^2)))</f>
        <v>0.11525877996707047</v>
      </c>
      <c r="O30" s="69" t="s">
        <v>21</v>
      </c>
      <c r="P30" s="43" t="s">
        <v>22</v>
      </c>
      <c r="Q30" s="44" t="s">
        <v>23</v>
      </c>
      <c r="U30" s="25">
        <f>COUNT('All Data'!D223:D227)</f>
        <v>5</v>
      </c>
      <c r="V30" s="25">
        <f>SUM('All Data'!D223:D227)</f>
        <v>650</v>
      </c>
      <c r="W30" s="25">
        <f>SUM('All Data'!F223:F227)</f>
        <v>1950</v>
      </c>
    </row>
    <row r="31" spans="1:23" ht="15" customHeight="1" x14ac:dyDescent="0.35">
      <c r="A31" s="1">
        <v>30</v>
      </c>
      <c r="B31" s="73" t="s">
        <v>54</v>
      </c>
      <c r="C31" s="74">
        <v>560</v>
      </c>
      <c r="D31" s="46">
        <v>3</v>
      </c>
      <c r="E31" s="46">
        <f>C31*D31</f>
        <v>1680</v>
      </c>
      <c r="F31" s="46">
        <v>18</v>
      </c>
      <c r="G31" s="46">
        <v>120</v>
      </c>
      <c r="H31" s="75">
        <v>40</v>
      </c>
      <c r="I31" s="61">
        <v>326</v>
      </c>
      <c r="J31" s="76">
        <f>SUMPRODUCT(ABS('All Data'!J229:J235-'All Data'!D229:D235))/$V31</f>
        <v>0.41785714285714287</v>
      </c>
      <c r="K31" s="77">
        <f>IF($U31&lt;2,"N/A (n=1)",TINV(0.05,$U31-1)*SQRT($U31*SUMPRODUCT((ABS('All Data'!J229:J235-'All Data'!D229:D235)-$J31*'All Data'!D229:D235)^2)/(($U31-1)*$V31^2)))</f>
        <v>0.15764499573900742</v>
      </c>
      <c r="L31" s="61">
        <v>788.0675</v>
      </c>
      <c r="M31" s="76">
        <f>SUMPRODUCT(ABS('All Data'!K229:K235-'All Data'!F229:F235))/$W31</f>
        <v>0.53091220238095249</v>
      </c>
      <c r="N31" s="77">
        <f>IF($U31&lt;2,"N/A (n=1)",TINV(0.05,$U31-1)*SQRT($U31*SUMPRODUCT((ABS('All Data'!K229:K235-'All Data'!F229:F235)-$M31*'All Data'!F229:F235)^2)/(($U31-1)*$W31^2)))</f>
        <v>0.22340562881043619</v>
      </c>
      <c r="O31" s="74" t="s">
        <v>21</v>
      </c>
      <c r="P31" s="61" t="s">
        <v>22</v>
      </c>
      <c r="Q31" s="78" t="s">
        <v>23</v>
      </c>
      <c r="U31" s="25">
        <f>COUNT('All Data'!D229:D235)</f>
        <v>7</v>
      </c>
      <c r="V31" s="25">
        <f>SUM('All Data'!D229:D235)</f>
        <v>560</v>
      </c>
      <c r="W31" s="25">
        <f>SUM('All Data'!F229:F235)</f>
        <v>1680</v>
      </c>
    </row>
    <row r="32" spans="1:23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mergeCells count="3">
    <mergeCell ref="C1:H1"/>
    <mergeCell ref="I1:N1"/>
    <mergeCell ref="O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" sqref="A3"/>
    </sheetView>
  </sheetViews>
  <sheetFormatPr defaultColWidth="8.6328125" defaultRowHeight="14.5" x14ac:dyDescent="0.35"/>
  <cols>
    <col min="1" max="1" width="24" style="1" customWidth="1"/>
    <col min="2" max="13" width="11" style="1" customWidth="1"/>
  </cols>
  <sheetData>
    <row r="1" spans="1:13" ht="15" customHeight="1" x14ac:dyDescent="0.35">
      <c r="A1" s="79" t="s">
        <v>55</v>
      </c>
    </row>
    <row r="2" spans="1:13" ht="15" customHeight="1" x14ac:dyDescent="0.35">
      <c r="A2" s="25" t="s">
        <v>87</v>
      </c>
    </row>
    <row r="4" spans="1:13" ht="45.75" customHeight="1" x14ac:dyDescent="0.35">
      <c r="A4" s="80" t="s">
        <v>2</v>
      </c>
      <c r="B4" s="80" t="s">
        <v>56</v>
      </c>
      <c r="C4" s="80" t="s">
        <v>57</v>
      </c>
      <c r="D4" s="80" t="s">
        <v>58</v>
      </c>
      <c r="E4" s="80" t="s">
        <v>59</v>
      </c>
      <c r="F4" s="81" t="s">
        <v>81</v>
      </c>
      <c r="G4" s="81" t="s">
        <v>82</v>
      </c>
      <c r="H4" s="80" t="s">
        <v>60</v>
      </c>
      <c r="I4" s="80" t="s">
        <v>61</v>
      </c>
      <c r="J4" s="81" t="s">
        <v>83</v>
      </c>
      <c r="K4" s="81" t="s">
        <v>84</v>
      </c>
      <c r="L4" s="80" t="s">
        <v>62</v>
      </c>
      <c r="M4" s="80" t="s">
        <v>61</v>
      </c>
    </row>
    <row r="5" spans="1:13" ht="15" customHeight="1" x14ac:dyDescent="0.35">
      <c r="A5" s="25" t="str">
        <f>'Data Summary'!B3</f>
        <v>Adjust Myflavor</v>
      </c>
      <c r="B5" s="82">
        <f>'Data Summary'!U3</f>
        <v>11</v>
      </c>
      <c r="C5" s="82">
        <f>'Data Summary'!V3</f>
        <v>440</v>
      </c>
      <c r="D5" s="82">
        <f>MIN('All Data'!D64:D74)</f>
        <v>40</v>
      </c>
      <c r="E5" s="82">
        <f>MAX('All Data'!D64:D74)</f>
        <v>40</v>
      </c>
      <c r="F5" s="83">
        <f>'Data Summary'!J3</f>
        <v>0</v>
      </c>
      <c r="G5" s="83">
        <f>'Data Summary'!K3</f>
        <v>0</v>
      </c>
      <c r="H5" s="83">
        <f>(SUM('All Data'!J64:J74)-SUM('All Data'!D64:D74))/SUM('All Data'!D64:D74)</f>
        <v>0</v>
      </c>
      <c r="I5" s="83">
        <f>IF($B5&lt;2,"N/A",TINV(0.05,$B5-1)*SQRT($B5*SUMPRODUCT((('All Data'!J64:J74-'All Data'!D64:D74)-H5*'All Data'!D64:D74)^2)/(($B5-1)*SUM('All Data'!D64:D74)^2)))</f>
        <v>0</v>
      </c>
      <c r="J5" s="83">
        <f>'Data Summary'!M3</f>
        <v>8.9101818181818171E-2</v>
      </c>
      <c r="K5" s="83">
        <f>'Data Summary'!N3</f>
        <v>5.5238047453313802E-3</v>
      </c>
      <c r="L5" s="83">
        <f>(SUM('All Data'!K64:K74)-SUM('All Data'!F64:F74))/SUM('All Data'!F64:F74)</f>
        <v>8.9101818181818129E-2</v>
      </c>
      <c r="M5" s="83">
        <f>IF($B5&lt;2,"N/A",TINV(0.05,$B5-1)*SQRT($B5*SUMPRODUCT((('All Data'!K64:K74-'All Data'!F64:F74)-L5*'All Data'!F64:F74)^2)/(($B5-1)*SUM('All Data'!F64:F74)^2)))</f>
        <v>5.5238047453313793E-3</v>
      </c>
    </row>
    <row r="6" spans="1:13" ht="15" customHeight="1" x14ac:dyDescent="0.35">
      <c r="A6" s="25" t="str">
        <f>'Data Summary'!B4</f>
        <v>Artery CL6</v>
      </c>
      <c r="B6" s="82">
        <f>'Data Summary'!U4</f>
        <v>7</v>
      </c>
      <c r="C6" s="82">
        <f>'Data Summary'!V4</f>
        <v>433</v>
      </c>
      <c r="D6" s="82">
        <f>MIN('All Data'!D76:D82)</f>
        <v>16</v>
      </c>
      <c r="E6" s="82">
        <f>MAX('All Data'!D76:D82)</f>
        <v>140</v>
      </c>
      <c r="F6" s="83">
        <f>'Data Summary'!J4</f>
        <v>6.9284064665127015E-2</v>
      </c>
      <c r="G6" s="83">
        <f>'Data Summary'!K4</f>
        <v>9.9512295331864786E-2</v>
      </c>
      <c r="H6" s="83">
        <f>(SUM('All Data'!J76:J82)-SUM('All Data'!D76:D82))/SUM('All Data'!D76:D82)</f>
        <v>-6.9284064665127015E-2</v>
      </c>
      <c r="I6" s="83">
        <f>IF($B6&lt;2,"N/A",TINV(0.05,$B6-1)*SQRT($B6*SUMPRODUCT((('All Data'!J76:J82-'All Data'!D76:D82)-H6*'All Data'!D76:D82)^2)/(($B6-1)*SUM('All Data'!D76:D82)^2)))</f>
        <v>9.9512295331864786E-2</v>
      </c>
      <c r="J6" s="83">
        <f>'Data Summary'!M4</f>
        <v>9.1963048498845262E-2</v>
      </c>
      <c r="K6" s="83">
        <f>'Data Summary'!N4</f>
        <v>0.10106321548441896</v>
      </c>
      <c r="L6" s="83">
        <f>(SUM('All Data'!K76:K82)-SUM('All Data'!F76:F82))/SUM('All Data'!F76:F82)</f>
        <v>9.7361046959198502E-3</v>
      </c>
      <c r="M6" s="83">
        <f>IF($B6&lt;2,"N/A",TINV(0.05,$B6-1)*SQRT($B6*SUMPRODUCT((('All Data'!K76:K82-'All Data'!F76:F82)-L6*'All Data'!F76:F82)^2)/(($B6-1)*SUM('All Data'!F76:F82)^2)))</f>
        <v>0.11263057618871387</v>
      </c>
    </row>
    <row r="7" spans="1:13" ht="15" customHeight="1" x14ac:dyDescent="0.35">
      <c r="A7" s="25" t="str">
        <f>'Data Summary'!B5</f>
        <v>Breeze Pro</v>
      </c>
      <c r="B7" s="82">
        <f>'Data Summary'!U5</f>
        <v>5</v>
      </c>
      <c r="C7" s="82">
        <f>'Data Summary'!V5</f>
        <v>400</v>
      </c>
      <c r="D7" s="82">
        <f>MIN('All Data'!D39:D43)</f>
        <v>80</v>
      </c>
      <c r="E7" s="82">
        <f>MAX('All Data'!D39:D43)</f>
        <v>80</v>
      </c>
      <c r="F7" s="83">
        <f>'Data Summary'!J5</f>
        <v>7.4999999999999997E-3</v>
      </c>
      <c r="G7" s="83">
        <f>'Data Summary'!K5</f>
        <v>2.0823338288983449E-2</v>
      </c>
      <c r="H7" s="83">
        <f>(SUM('All Data'!J39:J43)-SUM('All Data'!D39:D43))/SUM('All Data'!D39:D43)</f>
        <v>-7.4999999999999997E-3</v>
      </c>
      <c r="I7" s="83">
        <f>IF($B7&lt;2,"N/A",TINV(0.05,$B7-1)*SQRT($B7*SUMPRODUCT((('All Data'!J39:J43-'All Data'!D39:D43)-H7*'All Data'!D39:D43)^2)/(($B7-1)*SUM('All Data'!D39:D43)^2)))</f>
        <v>2.0823338288983449E-2</v>
      </c>
      <c r="J7" s="83">
        <f>'Data Summary'!M5</f>
        <v>3.4191916666666676E-2</v>
      </c>
      <c r="K7" s="83">
        <f>'Data Summary'!N5</f>
        <v>1.3734479274161169E-2</v>
      </c>
      <c r="L7" s="83">
        <f>(SUM('All Data'!K39:K43)-SUM('All Data'!F39:F43))/SUM('All Data'!F39:F43)</f>
        <v>3.4191916666666579E-2</v>
      </c>
      <c r="M7" s="83">
        <f>IF($B7&lt;2,"N/A",TINV(0.05,$B7-1)*SQRT($B7*SUMPRODUCT((('All Data'!K39:K43-'All Data'!F39:F43)-L7*'All Data'!F39:F43)^2)/(($B7-1)*SUM('All Data'!F39:F43)^2)))</f>
        <v>1.3734479274161169E-2</v>
      </c>
    </row>
    <row r="8" spans="1:13" ht="15" customHeight="1" x14ac:dyDescent="0.35">
      <c r="A8" s="25" t="str">
        <f>'Data Summary'!B6</f>
        <v>EBCreate BC 5000</v>
      </c>
      <c r="B8" s="82">
        <f>'Data Summary'!U6</f>
        <v>5</v>
      </c>
      <c r="C8" s="82">
        <f>'Data Summary'!V6</f>
        <v>450</v>
      </c>
      <c r="D8" s="82">
        <f>MIN('All Data'!D84:D88)</f>
        <v>70</v>
      </c>
      <c r="E8" s="82">
        <f>MAX('All Data'!D84:D88)</f>
        <v>100</v>
      </c>
      <c r="F8" s="83">
        <f>'Data Summary'!J6</f>
        <v>8.8888888888888889E-3</v>
      </c>
      <c r="G8" s="83">
        <f>'Data Summary'!K6</f>
        <v>1.3041524438347364E-2</v>
      </c>
      <c r="H8" s="83">
        <f>(SUM('All Data'!J84:J88)-SUM('All Data'!D84:D88))/SUM('All Data'!D84:D88)</f>
        <v>-8.8888888888888889E-3</v>
      </c>
      <c r="I8" s="83">
        <f>IF($B8&lt;2,"N/A",TINV(0.05,$B8-1)*SQRT($B8*SUMPRODUCT((('All Data'!J84:J88-'All Data'!D84:D88)-H8*'All Data'!D84:D88)^2)/(($B8-1)*SUM('All Data'!D84:D88)^2)))</f>
        <v>1.3041524438347364E-2</v>
      </c>
      <c r="J8" s="83">
        <f>'Data Summary'!M6</f>
        <v>1.2941111111111101E-2</v>
      </c>
      <c r="K8" s="83">
        <f>'Data Summary'!N6</f>
        <v>8.055311413350006E-3</v>
      </c>
      <c r="L8" s="83">
        <f>(SUM('All Data'!K84:K88)-SUM('All Data'!F84:F88))/SUM('All Data'!F84:F88)</f>
        <v>6.147777777777837E-3</v>
      </c>
      <c r="M8" s="83">
        <f>IF($B8&lt;2,"N/A",TINV(0.05,$B8-1)*SQRT($B8*SUMPRODUCT((('All Data'!K84:K88-'All Data'!F84:F88)-L8*'All Data'!F84:F88)^2)/(($B8-1)*SUM('All Data'!F84:F88)^2)))</f>
        <v>1.6661811455050062E-2</v>
      </c>
    </row>
    <row r="9" spans="1:13" ht="15" customHeight="1" x14ac:dyDescent="0.35">
      <c r="A9" s="25" t="str">
        <f>'Data Summary'!B7</f>
        <v>Elf Bar BC5000</v>
      </c>
      <c r="B9" s="82">
        <f>'Data Summary'!U7</f>
        <v>6</v>
      </c>
      <c r="C9" s="82">
        <f>'Data Summary'!V7</f>
        <v>448</v>
      </c>
      <c r="D9" s="82">
        <f>MIN('All Data'!D3:D8)</f>
        <v>48</v>
      </c>
      <c r="E9" s="82">
        <f>MAX('All Data'!D3:D8)</f>
        <v>80</v>
      </c>
      <c r="F9" s="83">
        <f>'Data Summary'!J7</f>
        <v>0</v>
      </c>
      <c r="G9" s="83">
        <f>'Data Summary'!K7</f>
        <v>0</v>
      </c>
      <c r="H9" s="83">
        <f>(SUM('All Data'!J3:J8)-SUM('All Data'!D3:D8))/SUM('All Data'!D3:D8)</f>
        <v>0</v>
      </c>
      <c r="I9" s="83">
        <f>IF($B9&lt;2,"N/A",TINV(0.05,$B9-1)*SQRT($B9*SUMPRODUCT((('All Data'!J3:J8-'All Data'!D3:D8)-H9*'All Data'!D3:D8)^2)/(($B9-1)*SUM('All Data'!D3:D8)^2)))</f>
        <v>0</v>
      </c>
      <c r="J9" s="83">
        <f>'Data Summary'!M7</f>
        <v>2.8843229166666665E-2</v>
      </c>
      <c r="K9" s="83">
        <f>'Data Summary'!N7</f>
        <v>1.5849924544731078E-2</v>
      </c>
      <c r="L9" s="83">
        <f>(SUM('All Data'!K3:K8)-SUM('All Data'!F3:F8))/SUM('All Data'!F3:F8)</f>
        <v>2.6977752976190487E-2</v>
      </c>
      <c r="M9" s="83">
        <f>IF($B9&lt;2,"N/A",TINV(0.05,$B9-1)*SQRT($B9*SUMPRODUCT((('All Data'!K3:K8-'All Data'!F3:F8)-L9*'All Data'!F3:F8)^2)/(($B9-1)*SUM('All Data'!F3:F8)^2)))</f>
        <v>1.9918303757190749E-2</v>
      </c>
    </row>
    <row r="10" spans="1:13" ht="15" customHeight="1" x14ac:dyDescent="0.35">
      <c r="A10" s="25" t="str">
        <f>'Data Summary'!B8</f>
        <v>Funky Republic ti7000</v>
      </c>
      <c r="B10" s="82">
        <f>'Data Summary'!U8</f>
        <v>7</v>
      </c>
      <c r="C10" s="82">
        <f>'Data Summary'!V8</f>
        <v>560</v>
      </c>
      <c r="D10" s="82">
        <f>MIN('All Data'!D31:D37)</f>
        <v>80</v>
      </c>
      <c r="E10" s="82">
        <f>MAX('All Data'!D31:D37)</f>
        <v>80</v>
      </c>
      <c r="F10" s="83">
        <f>'Data Summary'!J8</f>
        <v>7.1428571428571426E-3</v>
      </c>
      <c r="G10" s="83">
        <f>'Data Summary'!K8</f>
        <v>1.3108456345419482E-2</v>
      </c>
      <c r="H10" s="83">
        <f>(SUM('All Data'!J31:J37)-SUM('All Data'!D31:D37))/SUM('All Data'!D31:D37)</f>
        <v>-3.5714285714285713E-3</v>
      </c>
      <c r="I10" s="83">
        <f>IF($B10&lt;2,"N/A",TINV(0.05,$B10-1)*SQRT($B10*SUMPRODUCT((('All Data'!J31:J37-'All Data'!D31:D37)-H10*'All Data'!D31:D37)^2)/(($B10-1)*SUM('All Data'!D31:D37)^2)))</f>
        <v>1.4491943759503264E-2</v>
      </c>
      <c r="J10" s="83">
        <f>'Data Summary'!M8</f>
        <v>6.7887321428571429E-2</v>
      </c>
      <c r="K10" s="83">
        <f>'Data Summary'!N8</f>
        <v>2.4107140045672961E-2</v>
      </c>
      <c r="L10" s="83">
        <f>(SUM('All Data'!K31:K37)-SUM('All Data'!F31:F37))/SUM('All Data'!F31:F37)</f>
        <v>6.7887321428571429E-2</v>
      </c>
      <c r="M10" s="83">
        <f>IF($B10&lt;2,"N/A",TINV(0.05,$B10-1)*SQRT($B10*SUMPRODUCT((('All Data'!K31:K37-'All Data'!F31:F37)-L10*'All Data'!F31:F37)^2)/(($B10-1)*SUM('All Data'!F31:F37)^2)))</f>
        <v>2.4107140045672961E-2</v>
      </c>
    </row>
    <row r="11" spans="1:13" ht="15" customHeight="1" x14ac:dyDescent="0.35">
      <c r="A11" s="25" t="str">
        <f>'Data Summary'!B9</f>
        <v>Fzzybar X20000</v>
      </c>
      <c r="B11" s="82">
        <f>'Data Summary'!U9</f>
        <v>5</v>
      </c>
      <c r="C11" s="82">
        <f>'Data Summary'!V9</f>
        <v>530</v>
      </c>
      <c r="D11" s="82">
        <f>MIN('All Data'!D90:D94)</f>
        <v>30</v>
      </c>
      <c r="E11" s="82">
        <f>MAX('All Data'!D90:D94)</f>
        <v>140</v>
      </c>
      <c r="F11" s="83">
        <f>'Data Summary'!J9</f>
        <v>7.5471698113207544E-2</v>
      </c>
      <c r="G11" s="83">
        <f>'Data Summary'!K9</f>
        <v>0.12520717122674596</v>
      </c>
      <c r="H11" s="83">
        <f>(SUM('All Data'!J90:J94)-SUM('All Data'!D90:D94))/SUM('All Data'!D90:D94)</f>
        <v>-7.5471698113207544E-2</v>
      </c>
      <c r="I11" s="83">
        <f>IF($B11&lt;2,"N/A",TINV(0.05,$B11-1)*SQRT($B11*SUMPRODUCT((('All Data'!J90:J94-'All Data'!D90:D94)-H11*'All Data'!D90:D94)^2)/(($B11-1)*SUM('All Data'!D90:D94)^2)))</f>
        <v>0.12520717122674596</v>
      </c>
      <c r="J11" s="83">
        <f>'Data Summary'!M9</f>
        <v>6.8616037735849067E-2</v>
      </c>
      <c r="K11" s="83">
        <f>'Data Summary'!N9</f>
        <v>7.6269101867805597E-2</v>
      </c>
      <c r="L11" s="83">
        <f>(SUM('All Data'!K90:K94)-SUM('All Data'!F90:F94))/SUM('All Data'!F90:F94)</f>
        <v>-4.7239622641509068E-3</v>
      </c>
      <c r="M11" s="83">
        <f>IF($B11&lt;2,"N/A",TINV(0.05,$B11-1)*SQRT($B11*SUMPRODUCT((('All Data'!K90:K94-'All Data'!F90:F94)-L11*'All Data'!F90:F94)^2)/(($B11-1)*SUM('All Data'!F90:F94)^2)))</f>
        <v>0.12970600028630913</v>
      </c>
    </row>
    <row r="12" spans="1:13" ht="15" customHeight="1" x14ac:dyDescent="0.35">
      <c r="A12" s="25" t="str">
        <f>'Data Summary'!B10</f>
        <v>Geek Bar Pulse</v>
      </c>
      <c r="B12" s="82">
        <f>'Data Summary'!U10</f>
        <v>5</v>
      </c>
      <c r="C12" s="82">
        <f>'Data Summary'!V10</f>
        <v>400</v>
      </c>
      <c r="D12" s="82">
        <f>MIN('All Data'!D10:D14)</f>
        <v>80</v>
      </c>
      <c r="E12" s="82">
        <f>MAX('All Data'!D10:D14)</f>
        <v>80</v>
      </c>
      <c r="F12" s="83">
        <f>'Data Summary'!J10</f>
        <v>7.4999999999999997E-3</v>
      </c>
      <c r="G12" s="83">
        <f>'Data Summary'!K10</f>
        <v>1.3882225525988967E-2</v>
      </c>
      <c r="H12" s="83">
        <f>(SUM('All Data'!J10:J14)-SUM('All Data'!D10:D14))/SUM('All Data'!D10:D14)</f>
        <v>7.4999999999999997E-3</v>
      </c>
      <c r="I12" s="83">
        <f>IF($B12&lt;2,"N/A",TINV(0.05,$B12-1)*SQRT($B12*SUMPRODUCT((('All Data'!J10:J14-'All Data'!D10:D14)-H12*'All Data'!D10:D14)^2)/(($B12-1)*SUM('All Data'!D10:D14)^2)))</f>
        <v>1.3882225525988967E-2</v>
      </c>
      <c r="J12" s="83">
        <f>'Data Summary'!M10</f>
        <v>4.3925166666666654E-2</v>
      </c>
      <c r="K12" s="83">
        <f>'Data Summary'!N10</f>
        <v>7.2025225521070739E-3</v>
      </c>
      <c r="L12" s="83">
        <f>(SUM('All Data'!K10:K14)-SUM('All Data'!F10:F14))/SUM('All Data'!F10:F14)</f>
        <v>4.3925166666666654E-2</v>
      </c>
      <c r="M12" s="83">
        <f>IF($B12&lt;2,"N/A",TINV(0.05,$B12-1)*SQRT($B12*SUMPRODUCT((('All Data'!K10:K14-'All Data'!F10:F14)-L12*'All Data'!F10:F14)^2)/(($B12-1)*SUM('All Data'!F10:F14)^2)))</f>
        <v>7.2025225521070739E-3</v>
      </c>
    </row>
    <row r="13" spans="1:13" ht="15" customHeight="1" x14ac:dyDescent="0.35">
      <c r="A13" s="25" t="str">
        <f>'Data Summary'!B11</f>
        <v>Hyde IQ5000</v>
      </c>
      <c r="B13" s="82">
        <f>'Data Summary'!U11</f>
        <v>8</v>
      </c>
      <c r="C13" s="82">
        <f>'Data Summary'!V11</f>
        <v>536</v>
      </c>
      <c r="D13" s="82">
        <f>MIN('All Data'!D96:D103)</f>
        <v>16</v>
      </c>
      <c r="E13" s="82">
        <f>MAX('All Data'!D96:D103)</f>
        <v>80</v>
      </c>
      <c r="F13" s="83">
        <f>'Data Summary'!J11</f>
        <v>6.1567164179104475E-2</v>
      </c>
      <c r="G13" s="83">
        <f>'Data Summary'!K11</f>
        <v>5.7005772692634633E-2</v>
      </c>
      <c r="H13" s="83">
        <f>(SUM('All Data'!J96:J103)-SUM('All Data'!D96:D103))/SUM('All Data'!D96:D103)</f>
        <v>-5.7835820895522388E-2</v>
      </c>
      <c r="I13" s="83">
        <f>IF($B13&lt;2,"N/A",TINV(0.05,$B13-1)*SQRT($B13*SUMPRODUCT((('All Data'!J96:J103-'All Data'!D96:D103)-H13*'All Data'!D96:D103)^2)/(($B13-1)*SUM('All Data'!D96:D103)^2)))</f>
        <v>6.0594421396292786E-2</v>
      </c>
      <c r="J13" s="83">
        <f>'Data Summary'!M11</f>
        <v>0.11488687810945274</v>
      </c>
      <c r="K13" s="83">
        <f>'Data Summary'!N11</f>
        <v>7.0429889886480135E-2</v>
      </c>
      <c r="L13" s="83">
        <f>(SUM('All Data'!K96:K103)-SUM('All Data'!F96:F103))/SUM('All Data'!F96:F103)</f>
        <v>-9.7659266169154255E-2</v>
      </c>
      <c r="M13" s="83">
        <f>IF($B13&lt;2,"N/A",TINV(0.05,$B13-1)*SQRT($B13*SUMPRODUCT((('All Data'!K96:K103-'All Data'!F96:F103)-L13*'All Data'!F96:F103)^2)/(($B13-1)*SUM('All Data'!F96:F103)^2)))</f>
        <v>9.0764042842491136E-2</v>
      </c>
    </row>
    <row r="14" spans="1:13" ht="15" customHeight="1" x14ac:dyDescent="0.35">
      <c r="A14" s="25" t="str">
        <f>'Data Summary'!B12</f>
        <v>Hyde N-bar</v>
      </c>
      <c r="B14" s="82">
        <f>'Data Summary'!U12</f>
        <v>3</v>
      </c>
      <c r="C14" s="82">
        <f>'Data Summary'!V12</f>
        <v>240</v>
      </c>
      <c r="D14" s="82">
        <f>MIN('All Data'!D105:D107)</f>
        <v>80</v>
      </c>
      <c r="E14" s="82">
        <f>MAX('All Data'!D105:D107)</f>
        <v>80</v>
      </c>
      <c r="F14" s="83">
        <f>'Data Summary'!J12</f>
        <v>1.6666666666666666E-2</v>
      </c>
      <c r="G14" s="83">
        <f>'Data Summary'!K12</f>
        <v>7.171087882915772E-2</v>
      </c>
      <c r="H14" s="83">
        <f>(SUM('All Data'!J105:J107)-SUM('All Data'!D105:D107))/SUM('All Data'!D105:D107)</f>
        <v>-1.6666666666666666E-2</v>
      </c>
      <c r="I14" s="83">
        <f>IF($B14&lt;2,"N/A",TINV(0.05,$B14-1)*SQRT($B14*SUMPRODUCT((('All Data'!J105:J107-'All Data'!D105:D107)-H14*'All Data'!D105:D107)^2)/(($B14-1)*SUM('All Data'!D105:D107)^2)))</f>
        <v>7.171087882915772E-2</v>
      </c>
      <c r="J14" s="83">
        <f>'Data Summary'!M12</f>
        <v>8.9564861111111047E-2</v>
      </c>
      <c r="K14" s="83">
        <f>'Data Summary'!N12</f>
        <v>9.3785673326711991E-2</v>
      </c>
      <c r="L14" s="83">
        <f>(SUM('All Data'!K105:K107)-SUM('All Data'!F105:F107))/SUM('All Data'!F105:F107)</f>
        <v>5.8768749999999967E-2</v>
      </c>
      <c r="M14" s="83">
        <f>IF($B14&lt;2,"N/A",TINV(0.05,$B14-1)*SQRT($B14*SUMPRODUCT((('All Data'!K105:K107-'All Data'!F105:F107)-L14*'All Data'!F105:F107)^2)/(($B14-1)*SUM('All Data'!F105:F107)^2)))</f>
        <v>0.22600872797114005</v>
      </c>
    </row>
    <row r="15" spans="1:13" ht="15" customHeight="1" x14ac:dyDescent="0.35">
      <c r="A15" s="25" t="str">
        <f>'Data Summary'!B13</f>
        <v>Hyde Rebel</v>
      </c>
      <c r="B15" s="82">
        <f>'Data Summary'!U13</f>
        <v>5</v>
      </c>
      <c r="C15" s="82">
        <f>'Data Summary'!V13</f>
        <v>275</v>
      </c>
      <c r="D15" s="82">
        <f>MIN('All Data'!D109:D113)</f>
        <v>35</v>
      </c>
      <c r="E15" s="82">
        <f>MAX('All Data'!D109:D113)</f>
        <v>80</v>
      </c>
      <c r="F15" s="83">
        <f>'Data Summary'!J13</f>
        <v>2.181818181818182E-2</v>
      </c>
      <c r="G15" s="83">
        <f>'Data Summary'!K13</f>
        <v>2.8596061803234537E-2</v>
      </c>
      <c r="H15" s="83">
        <f>(SUM('All Data'!J109:J113)-SUM('All Data'!D109:D113))/SUM('All Data'!D109:D113)</f>
        <v>-1.4545454545454545E-2</v>
      </c>
      <c r="I15" s="83">
        <f>IF($B15&lt;2,"N/A",TINV(0.05,$B15-1)*SQRT($B15*SUMPRODUCT((('All Data'!J109:J113-'All Data'!D109:D113)-H15*'All Data'!D109:D113)^2)/(($B15-1)*SUM('All Data'!D109:D113)^2)))</f>
        <v>3.6479680103872349E-2</v>
      </c>
      <c r="J15" s="83">
        <f>'Data Summary'!M13</f>
        <v>3.6795757575757572E-2</v>
      </c>
      <c r="K15" s="83">
        <f>'Data Summary'!N13</f>
        <v>2.9677878324783066E-2</v>
      </c>
      <c r="L15" s="83">
        <f>(SUM('All Data'!K109:K113)-SUM('All Data'!F109:F113))/SUM('All Data'!F109:F113)</f>
        <v>3.6795757575757419E-2</v>
      </c>
      <c r="M15" s="83">
        <f>IF($B15&lt;2,"N/A",TINV(0.05,$B15-1)*SQRT($B15*SUMPRODUCT((('All Data'!K109:K113-'All Data'!F109:F113)-L15*'All Data'!F109:F113)^2)/(($B15-1)*SUM('All Data'!F109:F113)^2)))</f>
        <v>2.9677878324783039E-2</v>
      </c>
    </row>
    <row r="16" spans="1:13" ht="15" customHeight="1" x14ac:dyDescent="0.35">
      <c r="A16" s="25" t="str">
        <f>'Data Summary'!B14</f>
        <v>Juul</v>
      </c>
      <c r="B16" s="82">
        <f>'Data Summary'!U14</f>
        <v>3</v>
      </c>
      <c r="C16" s="82">
        <f>'Data Summary'!V14</f>
        <v>185</v>
      </c>
      <c r="D16" s="82">
        <f>MIN('All Data'!D54:D56)</f>
        <v>25</v>
      </c>
      <c r="E16" s="82">
        <f>MAX('All Data'!D54:D56)</f>
        <v>80</v>
      </c>
      <c r="F16" s="83">
        <f>'Data Summary'!J14</f>
        <v>0</v>
      </c>
      <c r="G16" s="83">
        <f>'Data Summary'!K14</f>
        <v>0</v>
      </c>
      <c r="H16" s="83">
        <f>(SUM('All Data'!J54:J56)-SUM('All Data'!D54:D56))/SUM('All Data'!D54:D56)</f>
        <v>0</v>
      </c>
      <c r="I16" s="83">
        <f>IF($B16&lt;2,"N/A",TINV(0.05,$B16-1)*SQRT($B16*SUMPRODUCT((('All Data'!J54:J56-'All Data'!D54:D56)-H16*'All Data'!D54:D56)^2)/(($B16-1)*SUM('All Data'!D54:D56)^2)))</f>
        <v>0</v>
      </c>
      <c r="J16" s="83">
        <f>'Data Summary'!M14</f>
        <v>7.3578378378378198E-3</v>
      </c>
      <c r="K16" s="83">
        <f>'Data Summary'!N14</f>
        <v>1.7134967082595157E-2</v>
      </c>
      <c r="L16" s="83">
        <f>(SUM('All Data'!K54:K56)-SUM('All Data'!F54:F56))/SUM('All Data'!F54:F56)</f>
        <v>-7.3578378378377175E-3</v>
      </c>
      <c r="M16" s="83">
        <f>IF($B16&lt;2,"N/A",TINV(0.05,$B16-1)*SQRT($B16*SUMPRODUCT((('All Data'!K54:K56-'All Data'!F54:F56)-L16*'All Data'!F54:F56)^2)/(($B16-1)*SUM('All Data'!F54:F56)^2)))</f>
        <v>1.713496708259514E-2</v>
      </c>
    </row>
    <row r="17" spans="1:13" ht="15" customHeight="1" x14ac:dyDescent="0.35">
      <c r="A17" s="25" t="str">
        <f>'Data Summary'!B15</f>
        <v>Kangvape Speedy Beast X</v>
      </c>
      <c r="B17" s="82">
        <f>'Data Summary'!U15</f>
        <v>9</v>
      </c>
      <c r="C17" s="82">
        <f>'Data Summary'!V15</f>
        <v>360</v>
      </c>
      <c r="D17" s="82">
        <f>MIN('All Data'!D115:D123)</f>
        <v>40</v>
      </c>
      <c r="E17" s="82">
        <f>MAX('All Data'!D115:D123)</f>
        <v>40</v>
      </c>
      <c r="F17" s="83">
        <f>'Data Summary'!J15</f>
        <v>1.3888888888888888E-2</v>
      </c>
      <c r="G17" s="83">
        <f>'Data Summary'!K15</f>
        <v>2.5622268168935196E-2</v>
      </c>
      <c r="H17" s="83">
        <f>(SUM('All Data'!J115:J123)-SUM('All Data'!D115:D123))/SUM('All Data'!D115:D123)</f>
        <v>-8.3333333333333332E-3</v>
      </c>
      <c r="I17" s="83">
        <f>IF($B17&lt;2,"N/A",TINV(0.05,$B17-1)*SQRT($B17*SUMPRODUCT((('All Data'!J115:J123-'All Data'!D115:D123)-H17*'All Data'!D115:D123)^2)/(($B17-1)*SUM('All Data'!D115:D123)^2)))</f>
        <v>2.7176519357451443E-2</v>
      </c>
      <c r="J17" s="83">
        <f>'Data Summary'!M15</f>
        <v>3.3045925925925937E-2</v>
      </c>
      <c r="K17" s="83">
        <f>'Data Summary'!N15</f>
        <v>3.5206240442425547E-2</v>
      </c>
      <c r="L17" s="83">
        <f>(SUM('All Data'!K115:K123)-SUM('All Data'!F115:F123))/SUM('All Data'!F115:F123)</f>
        <v>-1.6354074074074014E-2</v>
      </c>
      <c r="M17" s="83">
        <f>IF($B17&lt;2,"N/A",TINV(0.05,$B17-1)*SQRT($B17*SUMPRODUCT((('All Data'!K115:K123-'All Data'!F115:F123)-L17*'All Data'!F115:F123)^2)/(($B17-1)*SUM('All Data'!F115:F123)^2)))</f>
        <v>4.2279802440155521E-2</v>
      </c>
    </row>
    <row r="18" spans="1:13" ht="15" customHeight="1" x14ac:dyDescent="0.35">
      <c r="A18" s="25" t="str">
        <f>'Data Summary'!B16</f>
        <v>Lost Angel Sphere 35K</v>
      </c>
      <c r="B18" s="82">
        <f>'Data Summary'!U16</f>
        <v>6</v>
      </c>
      <c r="C18" s="82">
        <f>'Data Summary'!V16</f>
        <v>480</v>
      </c>
      <c r="D18" s="82">
        <f>MIN('All Data'!D47:D52)</f>
        <v>80</v>
      </c>
      <c r="E18" s="82">
        <f>MAX('All Data'!D47:D52)</f>
        <v>80</v>
      </c>
      <c r="F18" s="83">
        <f>'Data Summary'!J16</f>
        <v>0</v>
      </c>
      <c r="G18" s="83">
        <f>'Data Summary'!K16</f>
        <v>0</v>
      </c>
      <c r="H18" s="83">
        <f>(SUM('All Data'!J47:J52)-SUM('All Data'!D47:D52))/SUM('All Data'!D47:D52)</f>
        <v>0</v>
      </c>
      <c r="I18" s="83">
        <f>IF($B18&lt;2,"N/A",TINV(0.05,$B18-1)*SQRT($B18*SUMPRODUCT((('All Data'!J47:J52-'All Data'!D47:D52)-H18*'All Data'!D47:D52)^2)/(($B18-1)*SUM('All Data'!D47:D52)^2)))</f>
        <v>0</v>
      </c>
      <c r="J18" s="83">
        <f>'Data Summary'!M16</f>
        <v>2.8632152777777777E-2</v>
      </c>
      <c r="K18" s="83">
        <f>'Data Summary'!N16</f>
        <v>1.4821302571350638E-3</v>
      </c>
      <c r="L18" s="83">
        <f>(SUM('All Data'!K47:K52)-SUM('All Data'!F47:F52))/SUM('All Data'!F47:F52)</f>
        <v>2.8632152777777895E-2</v>
      </c>
      <c r="M18" s="83">
        <f>IF($B18&lt;2,"N/A",TINV(0.05,$B18-1)*SQRT($B18*SUMPRODUCT((('All Data'!K47:K52-'All Data'!F47:F52)-L18*'All Data'!F47:F52)^2)/(($B18-1)*SUM('All Data'!F47:F52)^2)))</f>
        <v>1.4821302571350638E-3</v>
      </c>
    </row>
    <row r="19" spans="1:13" ht="15" customHeight="1" x14ac:dyDescent="0.35">
      <c r="A19" s="25" t="str">
        <f>'Data Summary'!B17</f>
        <v>Lost Mary MT15000</v>
      </c>
      <c r="B19" s="82">
        <f>'Data Summary'!U17</f>
        <v>6</v>
      </c>
      <c r="C19" s="82">
        <f>'Data Summary'!V17</f>
        <v>455</v>
      </c>
      <c r="D19" s="82">
        <f>MIN('All Data'!D24:D29)</f>
        <v>55</v>
      </c>
      <c r="E19" s="82">
        <f>MAX('All Data'!D24:D29)</f>
        <v>80</v>
      </c>
      <c r="F19" s="83">
        <f>'Data Summary'!J17</f>
        <v>2.6373626373626374E-2</v>
      </c>
      <c r="G19" s="83">
        <f>'Data Summary'!K17</f>
        <v>1.5610502465121141E-2</v>
      </c>
      <c r="H19" s="83">
        <f>(SUM('All Data'!J24:J29)-SUM('All Data'!D24:D29))/SUM('All Data'!D24:D29)</f>
        <v>-1.3186813186813187E-2</v>
      </c>
      <c r="I19" s="83">
        <f>IF($B19&lt;2,"N/A",TINV(0.05,$B19-1)*SQRT($B19*SUMPRODUCT((('All Data'!J24:J29-'All Data'!D24:D29)-H19*'All Data'!D24:D29)^2)/(($B19-1)*SUM('All Data'!D24:D29)^2)))</f>
        <v>2.9102482933974331E-2</v>
      </c>
      <c r="J19" s="83">
        <f>'Data Summary'!M17</f>
        <v>2.5857582417582403E-2</v>
      </c>
      <c r="K19" s="83">
        <f>'Data Summary'!N17</f>
        <v>2.1006455007359915E-2</v>
      </c>
      <c r="L19" s="83">
        <f>(SUM('All Data'!K24:K29)-SUM('All Data'!F24:F29))/SUM('All Data'!F24:F29)</f>
        <v>2.257978021978025E-2</v>
      </c>
      <c r="M19" s="83">
        <f>IF($B19&lt;2,"N/A",TINV(0.05,$B19-1)*SQRT($B19*SUMPRODUCT((('All Data'!K24:K29-'All Data'!F24:F29)-L19*'All Data'!F24:F29)^2)/(($B19-1)*SUM('All Data'!F24:F29)^2)))</f>
        <v>2.5457071136508285E-2</v>
      </c>
    </row>
    <row r="20" spans="1:13" ht="15" customHeight="1" x14ac:dyDescent="0.35">
      <c r="A20" s="25" t="str">
        <f>'Data Summary'!B18</f>
        <v>Mr Fog Aura</v>
      </c>
      <c r="B20" s="82">
        <f>'Data Summary'!U18</f>
        <v>11</v>
      </c>
      <c r="C20" s="82">
        <f>'Data Summary'!V18</f>
        <v>1049</v>
      </c>
      <c r="D20" s="82">
        <f>MIN('All Data'!D125:D135)</f>
        <v>39</v>
      </c>
      <c r="E20" s="82">
        <f>MAX('All Data'!D125:D135)</f>
        <v>200</v>
      </c>
      <c r="F20" s="83">
        <f>'Data Summary'!J18</f>
        <v>5.3384175405147762E-2</v>
      </c>
      <c r="G20" s="83">
        <f>'Data Summary'!K18</f>
        <v>6.7445933402897257E-2</v>
      </c>
      <c r="H20" s="83">
        <f>(SUM('All Data'!J125:J135)-SUM('All Data'!D125:D135))/SUM('All Data'!D125:D135)</f>
        <v>-3.4318398474737846E-2</v>
      </c>
      <c r="I20" s="83">
        <f>IF($B20&lt;2,"N/A",TINV(0.05,$B20-1)*SQRT($B20*SUMPRODUCT((('All Data'!J125:J135-'All Data'!D125:D135)-H20*'All Data'!D125:D135)^2)/(($B20-1)*SUM('All Data'!D125:D135)^2)))</f>
        <v>7.1324124908281758E-2</v>
      </c>
      <c r="J20" s="83">
        <f>'Data Summary'!M18</f>
        <v>0.10805681601525266</v>
      </c>
      <c r="K20" s="83">
        <f>'Data Summary'!N18</f>
        <v>6.5920390651407604E-2</v>
      </c>
      <c r="L20" s="83">
        <f>(SUM('All Data'!K125:K135)-SUM('All Data'!F125:F135))/SUM('All Data'!F125:F135)</f>
        <v>2.0287321258341276E-2</v>
      </c>
      <c r="M20" s="83">
        <f>IF($B20&lt;2,"N/A",TINV(0.05,$B20-1)*SQRT($B20*SUMPRODUCT((('All Data'!K125:K135-'All Data'!F125:F135)-L20*'All Data'!F125:F135)^2)/(($B20-1)*SUM('All Data'!F125:F135)^2)))</f>
        <v>8.7635799345387275E-2</v>
      </c>
    </row>
    <row r="21" spans="1:13" ht="15" customHeight="1" x14ac:dyDescent="0.35">
      <c r="A21" s="25" t="str">
        <f>'Data Summary'!B19</f>
        <v>MR Fog Nova</v>
      </c>
      <c r="B21" s="82">
        <f>'Data Summary'!U19</f>
        <v>25</v>
      </c>
      <c r="C21" s="82">
        <f>'Data Summary'!V19</f>
        <v>1000</v>
      </c>
      <c r="D21" s="82">
        <f>MIN('All Data'!D137:D161)</f>
        <v>40</v>
      </c>
      <c r="E21" s="82">
        <f>MAX('All Data'!D137:D161)</f>
        <v>40</v>
      </c>
      <c r="F21" s="83">
        <f>'Data Summary'!J19</f>
        <v>6.0000000000000001E-3</v>
      </c>
      <c r="G21" s="83">
        <f>'Data Summary'!K19</f>
        <v>5.3951640101776877E-3</v>
      </c>
      <c r="H21" s="83">
        <f>(SUM('All Data'!J137:J161)-SUM('All Data'!D137:D161))/SUM('All Data'!D137:D161)</f>
        <v>4.0000000000000001E-3</v>
      </c>
      <c r="I21" s="83">
        <f>IF($B21&lt;2,"N/A",TINV(0.05,$B21-1)*SQRT($B21*SUMPRODUCT((('All Data'!J137:J161-'All Data'!D137:D161)-H21*'All Data'!D137:D161)^2)/(($B21-1)*SUM('All Data'!D137:D161)^2)))</f>
        <v>5.7146763475538816E-3</v>
      </c>
      <c r="J21" s="83">
        <f>'Data Summary'!M19</f>
        <v>8.3078433333333326E-2</v>
      </c>
      <c r="K21" s="83">
        <f>'Data Summary'!N19</f>
        <v>8.1238308972333955E-3</v>
      </c>
      <c r="L21" s="83">
        <f>(SUM('All Data'!K137:K161)-SUM('All Data'!F137:F161))/SUM('All Data'!F137:F161)</f>
        <v>8.3078433333333424E-2</v>
      </c>
      <c r="M21" s="83">
        <f>IF($B21&lt;2,"N/A",TINV(0.05,$B21-1)*SQRT($B21*SUMPRODUCT((('All Data'!K137:K161-'All Data'!F137:F161)-L21*'All Data'!F137:F161)^2)/(($B21-1)*SUM('All Data'!F137:F161)^2)))</f>
        <v>8.1238308972333955E-3</v>
      </c>
    </row>
    <row r="22" spans="1:13" ht="15" customHeight="1" x14ac:dyDescent="0.35">
      <c r="A22" s="25" t="str">
        <f>'Data Summary'!B20</f>
        <v>Njoy Ace</v>
      </c>
      <c r="B22" s="82">
        <f>'Data Summary'!U20</f>
        <v>1</v>
      </c>
      <c r="C22" s="82">
        <f>'Data Summary'!V20</f>
        <v>80</v>
      </c>
      <c r="D22" s="82">
        <f>MIN('All Data'!D58:D58)</f>
        <v>80</v>
      </c>
      <c r="E22" s="82">
        <f>MAX('All Data'!D58:D58)</f>
        <v>80</v>
      </c>
      <c r="F22" s="83">
        <f>'Data Summary'!J20</f>
        <v>0</v>
      </c>
      <c r="G22" s="83" t="str">
        <f>'Data Summary'!K20</f>
        <v>N/A (n=1)</v>
      </c>
      <c r="H22" s="83">
        <f>(SUM('All Data'!J58:J58)-SUM('All Data'!D58:D58))/SUM('All Data'!D58:D58)</f>
        <v>0</v>
      </c>
      <c r="I22" s="83" t="str">
        <f>IF($B22&lt;2,"N/A",TINV(0.05,$B22-1)*SQRT($B22*SUMPRODUCT((('All Data'!J58:J58-'All Data'!D58:D58)-H22*'All Data'!D58:D58)^2)/(($B22-1)*SUM('All Data'!D58:D58)^2)))</f>
        <v>N/A</v>
      </c>
      <c r="J22" s="83">
        <f>'Data Summary'!M20</f>
        <v>0.18899291666666659</v>
      </c>
      <c r="K22" s="83" t="str">
        <f>'Data Summary'!N20</f>
        <v>N/A (n=1)</v>
      </c>
      <c r="L22" s="83">
        <f>(SUM('All Data'!K58:K58)-SUM('All Data'!F58:F58))/SUM('All Data'!F58:F58)</f>
        <v>0.18899291666666659</v>
      </c>
      <c r="M22" s="83" t="str">
        <f>IF($B22&lt;2,"N/A",TINV(0.05,$B22-1)*SQRT($B22*SUMPRODUCT((('All Data'!K58:K58-'All Data'!F58:F58)-L22*'All Data'!F58:F58)^2)/(($B22-1)*SUM('All Data'!F58:F58)^2)))</f>
        <v>N/A</v>
      </c>
    </row>
    <row r="23" spans="1:13" ht="15" customHeight="1" x14ac:dyDescent="0.35">
      <c r="A23" s="25" t="str">
        <f>'Data Summary'!B21</f>
        <v>North 5000 Disposable</v>
      </c>
      <c r="B23" s="82">
        <f>'Data Summary'!U21</f>
        <v>6</v>
      </c>
      <c r="C23" s="82">
        <f>'Data Summary'!V21</f>
        <v>240</v>
      </c>
      <c r="D23" s="82">
        <f>MIN('All Data'!D163:D168)</f>
        <v>40</v>
      </c>
      <c r="E23" s="82">
        <f>MAX('All Data'!D163:D168)</f>
        <v>40</v>
      </c>
      <c r="F23" s="83">
        <f>'Data Summary'!J21</f>
        <v>0</v>
      </c>
      <c r="G23" s="83">
        <f>'Data Summary'!K21</f>
        <v>0</v>
      </c>
      <c r="H23" s="83">
        <f>(SUM('All Data'!J163:J168)-SUM('All Data'!D163:D168))/SUM('All Data'!D163:D168)</f>
        <v>0</v>
      </c>
      <c r="I23" s="83">
        <f>IF($B23&lt;2,"N/A",TINV(0.05,$B23-1)*SQRT($B23*SUMPRODUCT((('All Data'!J163:J168-'All Data'!D163:D168)-H23*'All Data'!D163:D168)^2)/(($B23-1)*SUM('All Data'!D163:D168)^2)))</f>
        <v>0</v>
      </c>
      <c r="J23" s="83">
        <f>'Data Summary'!M21</f>
        <v>7.2804861111111105E-2</v>
      </c>
      <c r="K23" s="83">
        <f>'Data Summary'!N21</f>
        <v>6.8526075751662073E-3</v>
      </c>
      <c r="L23" s="83">
        <f>(SUM('All Data'!K163:K168)-SUM('All Data'!F163:F168))/SUM('All Data'!F163:F168)</f>
        <v>7.2804861111111382E-2</v>
      </c>
      <c r="M23" s="83">
        <f>IF($B23&lt;2,"N/A",TINV(0.05,$B23-1)*SQRT($B23*SUMPRODUCT((('All Data'!K163:K168-'All Data'!F163:F168)-L23*'All Data'!F163:F168)^2)/(($B23-1)*SUM('All Data'!F163:F168)^2)))</f>
        <v>6.8526075751662065E-3</v>
      </c>
    </row>
    <row r="24" spans="1:13" ht="15" customHeight="1" x14ac:dyDescent="0.35">
      <c r="A24" s="25" t="str">
        <f>'Data Summary'!B22</f>
        <v>Offstamp SW 9000</v>
      </c>
      <c r="B24" s="82">
        <f>'Data Summary'!U22</f>
        <v>15</v>
      </c>
      <c r="C24" s="82">
        <f>'Data Summary'!V22</f>
        <v>600</v>
      </c>
      <c r="D24" s="82">
        <f>MIN('All Data'!D170:D184)</f>
        <v>40</v>
      </c>
      <c r="E24" s="82">
        <f>MAX('All Data'!D170:D184)</f>
        <v>40</v>
      </c>
      <c r="F24" s="83">
        <f>'Data Summary'!J22</f>
        <v>6.6666666666666671E-3</v>
      </c>
      <c r="G24" s="83">
        <f>'Data Summary'!K22</f>
        <v>8.2183512147628434E-3</v>
      </c>
      <c r="H24" s="83">
        <f>(SUM('All Data'!J170:J184)-SUM('All Data'!D170:D184))/SUM('All Data'!D170:D184)</f>
        <v>6.6666666666666671E-3</v>
      </c>
      <c r="I24" s="83">
        <f>IF($B24&lt;2,"N/A",TINV(0.05,$B24-1)*SQRT($B24*SUMPRODUCT((('All Data'!J170:J184-'All Data'!D170:D184)-H24*'All Data'!D170:D184)^2)/(($B24-1)*SUM('All Data'!D170:D184)^2)))</f>
        <v>8.2183512147628434E-3</v>
      </c>
      <c r="J24" s="83">
        <f>'Data Summary'!M22</f>
        <v>8.4740277777777762E-2</v>
      </c>
      <c r="K24" s="83">
        <f>'Data Summary'!N22</f>
        <v>9.0885021495733468E-3</v>
      </c>
      <c r="L24" s="83">
        <f>(SUM('All Data'!K170:K184)-SUM('All Data'!F170:F184))/SUM('All Data'!F170:F184)</f>
        <v>8.4740277777777914E-2</v>
      </c>
      <c r="M24" s="83">
        <f>IF($B24&lt;2,"N/A",TINV(0.05,$B24-1)*SQRT($B24*SUMPRODUCT((('All Data'!K170:K184-'All Data'!F170:F184)-L24*'All Data'!F170:F184)^2)/(($B24-1)*SUM('All Data'!F170:F184)^2)))</f>
        <v>9.0885021495733468E-3</v>
      </c>
    </row>
    <row r="25" spans="1:13" ht="15" customHeight="1" x14ac:dyDescent="0.35">
      <c r="A25" s="25" t="str">
        <f>'Data Summary'!B23</f>
        <v>Offstamp X cube</v>
      </c>
      <c r="B25" s="82">
        <f>'Data Summary'!U23</f>
        <v>6</v>
      </c>
      <c r="C25" s="82">
        <f>'Data Summary'!V23</f>
        <v>330</v>
      </c>
      <c r="D25" s="82">
        <f>MIN('All Data'!D237:D242)</f>
        <v>40</v>
      </c>
      <c r="E25" s="82">
        <f>MAX('All Data'!D237:D242)</f>
        <v>70</v>
      </c>
      <c r="F25" s="83">
        <f>'Data Summary'!J23</f>
        <v>0.11212121212121212</v>
      </c>
      <c r="G25" s="83">
        <f>'Data Summary'!K23</f>
        <v>8.9934399184394428E-2</v>
      </c>
      <c r="H25" s="83">
        <f>(SUM('All Data'!J237:J242)-SUM('All Data'!D237:D242))/SUM('All Data'!D237:D242)</f>
        <v>-0.11212121212121212</v>
      </c>
      <c r="I25" s="83">
        <f>IF($B25&lt;2,"N/A",TINV(0.05,$B25-1)*SQRT($B25*SUMPRODUCT((('All Data'!J237:J242-'All Data'!D237:D242)-H25*'All Data'!D237:D242)^2)/(($B25-1)*SUM('All Data'!D237:D242)^2)))</f>
        <v>8.9934399184394428E-2</v>
      </c>
      <c r="J25" s="83">
        <f>'Data Summary'!M23</f>
        <v>0.14655080808080809</v>
      </c>
      <c r="K25" s="83">
        <f>'Data Summary'!N23</f>
        <v>7.9106757000796071E-2</v>
      </c>
      <c r="L25" s="83">
        <f>(SUM('All Data'!K237:K242)-SUM('All Data'!F237:F242))/SUM('All Data'!F237:F242)</f>
        <v>-0.1105857575757575</v>
      </c>
      <c r="M25" s="83">
        <f>IF($B25&lt;2,"N/A",TINV(0.05,$B25-1)*SQRT($B25*SUMPRODUCT((('All Data'!K237:K242-'All Data'!F237:F242)-L25*'All Data'!F237:F242)^2)/(($B25-1)*SUM('All Data'!F237:F242)^2)))</f>
        <v>0.12702261148684424</v>
      </c>
    </row>
    <row r="26" spans="1:13" ht="15" customHeight="1" x14ac:dyDescent="0.35">
      <c r="A26" s="25" t="str">
        <f>'Data Summary'!B24</f>
        <v>RAZ DC25000</v>
      </c>
      <c r="B26" s="82">
        <f>'Data Summary'!U24</f>
        <v>7</v>
      </c>
      <c r="C26" s="82">
        <f>'Data Summary'!V24</f>
        <v>502</v>
      </c>
      <c r="D26" s="82">
        <f>MIN('All Data'!D16:D22)</f>
        <v>22</v>
      </c>
      <c r="E26" s="82">
        <f>MAX('All Data'!D16:D22)</f>
        <v>80</v>
      </c>
      <c r="F26" s="83">
        <f>'Data Summary'!J24</f>
        <v>1.3944223107569721E-2</v>
      </c>
      <c r="G26" s="83">
        <f>'Data Summary'!K24</f>
        <v>2.2914682685636671E-2</v>
      </c>
      <c r="H26" s="83">
        <f>(SUM('All Data'!J16:J22)-SUM('All Data'!D16:D22))/SUM('All Data'!D16:D22)</f>
        <v>-9.9601593625498006E-3</v>
      </c>
      <c r="I26" s="83">
        <f>IF($B26&lt;2,"N/A",TINV(0.05,$B26-1)*SQRT($B26*SUMPRODUCT((('All Data'!J16:J22-'All Data'!D16:D22)-H26*'All Data'!D16:D22)^2)/(($B26-1)*SUM('All Data'!D16:D22)^2)))</f>
        <v>2.5188641259995516E-2</v>
      </c>
      <c r="J26" s="83">
        <f>'Data Summary'!M24</f>
        <v>3.9820783532536541E-2</v>
      </c>
      <c r="K26" s="83">
        <f>'Data Summary'!N24</f>
        <v>1.1759567386177493E-2</v>
      </c>
      <c r="L26" s="83">
        <f>(SUM('All Data'!K16:K22)-SUM('All Data'!F16:F22))/SUM('All Data'!F16:F22)</f>
        <v>3.3050132802124842E-2</v>
      </c>
      <c r="M26" s="83">
        <f>IF($B26&lt;2,"N/A",TINV(0.05,$B26-1)*SQRT($B26*SUMPRODUCT((('All Data'!K16:K22-'All Data'!F16:F22)-L26*'All Data'!F16:F22)^2)/(($B26-1)*SUM('All Data'!F16:F22)^2)))</f>
        <v>2.6275426780971174E-2</v>
      </c>
    </row>
    <row r="27" spans="1:13" ht="15" customHeight="1" x14ac:dyDescent="0.35">
      <c r="A27" s="25" t="str">
        <f>'Data Summary'!B25</f>
        <v>Tyson Heavyweight</v>
      </c>
      <c r="B27" s="82">
        <f>'Data Summary'!U25</f>
        <v>15</v>
      </c>
      <c r="C27" s="82">
        <f>'Data Summary'!V25</f>
        <v>600</v>
      </c>
      <c r="D27" s="82">
        <f>MIN('All Data'!D186:D200)</f>
        <v>40</v>
      </c>
      <c r="E27" s="82">
        <f>MAX('All Data'!D186:D200)</f>
        <v>40</v>
      </c>
      <c r="F27" s="83">
        <f>'Data Summary'!J25</f>
        <v>1.1666666666666667E-2</v>
      </c>
      <c r="G27" s="83">
        <f>'Data Summary'!K25</f>
        <v>7.1492889597260141E-3</v>
      </c>
      <c r="H27" s="83">
        <f>(SUM('All Data'!J186:J200)-SUM('All Data'!D186:D200))/SUM('All Data'!D186:D200)</f>
        <v>1.6666666666666668E-3</v>
      </c>
      <c r="I27" s="83">
        <f>IF($B27&lt;2,"N/A",TINV(0.05,$B27-1)*SQRT($B27*SUMPRODUCT((('All Data'!J186:J200-'All Data'!D186:D200)-H27*'All Data'!D186:D200)^2)/(($B27-1)*SUM('All Data'!D186:D200)^2)))</f>
        <v>9.7428385727714572E-3</v>
      </c>
      <c r="J27" s="83">
        <f>'Data Summary'!M25</f>
        <v>8.4069111111111108E-2</v>
      </c>
      <c r="K27" s="83">
        <f>'Data Summary'!N25</f>
        <v>9.32858361615241E-3</v>
      </c>
      <c r="L27" s="83">
        <f>(SUM('All Data'!K186:K200)-SUM('All Data'!F186:F200))/SUM('All Data'!F186:F200)</f>
        <v>8.4069111111111219E-2</v>
      </c>
      <c r="M27" s="83">
        <f>IF($B27&lt;2,"N/A",TINV(0.05,$B27-1)*SQRT($B27*SUMPRODUCT((('All Data'!K186:K200-'All Data'!F186:F200)-L27*'All Data'!F186:F200)^2)/(($B27-1)*SUM('All Data'!F186:F200)^2)))</f>
        <v>9.32858361615241E-3</v>
      </c>
    </row>
    <row r="28" spans="1:13" ht="15" customHeight="1" x14ac:dyDescent="0.35">
      <c r="A28" s="25" t="str">
        <f>'Data Summary'!B26</f>
        <v>Viho TRX 50k</v>
      </c>
      <c r="B28" s="82">
        <f>'Data Summary'!U26</f>
        <v>8</v>
      </c>
      <c r="C28" s="82">
        <f>'Data Summary'!V26</f>
        <v>826</v>
      </c>
      <c r="D28" s="82">
        <f>MIN('All Data'!D202:D209)</f>
        <v>40</v>
      </c>
      <c r="E28" s="82">
        <f>MAX('All Data'!D202:D209)</f>
        <v>176</v>
      </c>
      <c r="F28" s="83">
        <f>'Data Summary'!J26</f>
        <v>9.6852300242130755E-3</v>
      </c>
      <c r="G28" s="83">
        <f>'Data Summary'!K26</f>
        <v>1.4135829857042058E-2</v>
      </c>
      <c r="H28" s="83">
        <f>(SUM('All Data'!J202:J209)-SUM('All Data'!D202:D209))/SUM('All Data'!D202:D209)</f>
        <v>-9.6852300242130755E-3</v>
      </c>
      <c r="I28" s="83">
        <f>IF($B28&lt;2,"N/A",TINV(0.05,$B28-1)*SQRT($B28*SUMPRODUCT((('All Data'!J202:J209-'All Data'!D202:D209)-H28*'All Data'!D202:D209)^2)/(($B28-1)*SUM('All Data'!D202:D209)^2)))</f>
        <v>1.4135829857042058E-2</v>
      </c>
      <c r="J28" s="83">
        <f>'Data Summary'!M26</f>
        <v>6.38036319612591E-2</v>
      </c>
      <c r="K28" s="83">
        <f>'Data Summary'!N26</f>
        <v>1.4843618986465346E-2</v>
      </c>
      <c r="L28" s="83">
        <f>(SUM('All Data'!K202:K209)-SUM('All Data'!F202:F209))/SUM('All Data'!F202:F209)</f>
        <v>6.3803631961259225E-2</v>
      </c>
      <c r="M28" s="83">
        <f>IF($B28&lt;2,"N/A",TINV(0.05,$B28-1)*SQRT($B28*SUMPRODUCT((('All Data'!K202:K209-'All Data'!F202:F209)-L28*'All Data'!F202:F209)^2)/(($B28-1)*SUM('All Data'!F202:F209)^2)))</f>
        <v>1.4843618986465345E-2</v>
      </c>
    </row>
    <row r="29" spans="1:13" ht="15" customHeight="1" x14ac:dyDescent="0.35">
      <c r="A29" s="25" t="str">
        <f>'Data Summary'!B28</f>
        <v>Fogger Switch Pro</v>
      </c>
      <c r="B29" s="82">
        <f>'Data Summary'!U28</f>
        <v>4</v>
      </c>
      <c r="C29" s="82">
        <f>'Data Summary'!V28</f>
        <v>400</v>
      </c>
      <c r="D29" s="82">
        <f>MIN('All Data'!D214:D217)</f>
        <v>100</v>
      </c>
      <c r="E29" s="82">
        <f>MAX('All Data'!D214:D217)</f>
        <v>100</v>
      </c>
      <c r="F29" s="83">
        <f>'Data Summary'!J28</f>
        <v>0.35</v>
      </c>
      <c r="G29" s="83">
        <f>'Data Summary'!K28</f>
        <v>0.58508563443932793</v>
      </c>
      <c r="H29" s="83">
        <f>(SUM('All Data'!J214:J217)-SUM('All Data'!D214:D217))/SUM('All Data'!D214:D217)</f>
        <v>-0.35</v>
      </c>
      <c r="I29" s="83">
        <f>IF($B29&lt;2,"N/A",TINV(0.05,$B29-1)*SQRT($B29*SUMPRODUCT((('All Data'!J214:J217-'All Data'!D214:D217)-H29*'All Data'!D214:D217)^2)/(($B29-1)*SUM('All Data'!D214:D217)^2)))</f>
        <v>0.58508563443932793</v>
      </c>
      <c r="J29" s="83">
        <f>'Data Summary'!M28</f>
        <v>0.33553791666666666</v>
      </c>
      <c r="K29" s="83">
        <f>'Data Summary'!N28</f>
        <v>0.60007300379811646</v>
      </c>
      <c r="L29" s="83">
        <f>(SUM('All Data'!K214:K217)-SUM('All Data'!F214:F217))/SUM('All Data'!F214:F217)</f>
        <v>-0.33553791666666666</v>
      </c>
      <c r="M29" s="83">
        <f>IF($B29&lt;2,"N/A",TINV(0.05,$B29-1)*SQRT($B29*SUMPRODUCT((('All Data'!K214:K217-'All Data'!F214:F217)-L29*'All Data'!F214:F217)^2)/(($B29-1)*SUM('All Data'!F214:F217)^2)))</f>
        <v>0.60007300379811646</v>
      </c>
    </row>
    <row r="30" spans="1:13" ht="15" customHeight="1" x14ac:dyDescent="0.35">
      <c r="A30" s="25" t="str">
        <f>'Data Summary'!B29</f>
        <v>Juul 2</v>
      </c>
      <c r="B30" s="82">
        <f>'Data Summary'!U29</f>
        <v>3</v>
      </c>
      <c r="C30" s="82">
        <f>'Data Summary'!V29</f>
        <v>240</v>
      </c>
      <c r="D30" s="82">
        <f>MIN('All Data'!D219:D221)</f>
        <v>80</v>
      </c>
      <c r="E30" s="82">
        <f>MAX('All Data'!D219:D221)</f>
        <v>80</v>
      </c>
      <c r="F30" s="83">
        <f>'Data Summary'!J29</f>
        <v>0.99583333333333335</v>
      </c>
      <c r="G30" s="83">
        <f>'Data Summary'!K29</f>
        <v>1.792771970728943E-2</v>
      </c>
      <c r="H30" s="83">
        <f>(SUM('All Data'!J219:J221)-SUM('All Data'!D219:D221))/SUM('All Data'!D219:D221)</f>
        <v>-0.99583333333333335</v>
      </c>
      <c r="I30" s="83">
        <f>IF($B30&lt;2,"N/A",TINV(0.05,$B30-1)*SQRT($B30*SUMPRODUCT((('All Data'!J219:J221-'All Data'!D219:D221)-H30*'All Data'!D219:D221)^2)/(($B30-1)*SUM('All Data'!D219:D221)^2)))</f>
        <v>1.792771970728943E-2</v>
      </c>
      <c r="J30" s="83">
        <f>'Data Summary'!M29</f>
        <v>0.99944</v>
      </c>
      <c r="K30" s="83">
        <f>'Data Summary'!N29</f>
        <v>2.4094855286596888E-3</v>
      </c>
      <c r="L30" s="83">
        <f>(SUM('All Data'!K219:K221)-SUM('All Data'!F219:F221))/SUM('All Data'!F219:F221)</f>
        <v>-0.99944</v>
      </c>
      <c r="M30" s="83">
        <f>IF($B30&lt;2,"N/A",TINV(0.05,$B30-1)*SQRT($B30*SUMPRODUCT((('All Data'!K219:K221-'All Data'!F219:F221)-L30*'All Data'!F219:F221)^2)/(($B30-1)*SUM('All Data'!F219:F221)^2)))</f>
        <v>2.4094855286596888E-3</v>
      </c>
    </row>
    <row r="31" spans="1:13" ht="15" customHeight="1" x14ac:dyDescent="0.35">
      <c r="A31" s="25" t="str">
        <f>'Data Summary'!B30</f>
        <v>KangerTech SUBOX</v>
      </c>
      <c r="B31" s="82">
        <f>'Data Summary'!U30</f>
        <v>5</v>
      </c>
      <c r="C31" s="82">
        <f>'Data Summary'!V30</f>
        <v>650</v>
      </c>
      <c r="D31" s="82">
        <f>MIN('All Data'!D223:D227)</f>
        <v>120</v>
      </c>
      <c r="E31" s="82">
        <f>MAX('All Data'!D223:D227)</f>
        <v>140</v>
      </c>
      <c r="F31" s="83">
        <f>'Data Summary'!J30</f>
        <v>0.76923076923076927</v>
      </c>
      <c r="G31" s="83">
        <f>'Data Summary'!K30</f>
        <v>5.2789483976450162E-2</v>
      </c>
      <c r="H31" s="83">
        <f>(SUM('All Data'!J223:J227)-SUM('All Data'!D223:D227))/SUM('All Data'!D223:D227)</f>
        <v>-0.76923076923076927</v>
      </c>
      <c r="I31" s="83">
        <f>IF($B31&lt;2,"N/A",TINV(0.05,$B31-1)*SQRT($B31*SUMPRODUCT((('All Data'!J223:J227-'All Data'!D223:D227)-H31*'All Data'!D223:D227)^2)/(($B31-1)*SUM('All Data'!D223:D227)^2)))</f>
        <v>5.2789483976450162E-2</v>
      </c>
      <c r="J31" s="83">
        <f>'Data Summary'!M30</f>
        <v>0.80236112820512828</v>
      </c>
      <c r="K31" s="83">
        <f>'Data Summary'!N30</f>
        <v>0.11525877996707047</v>
      </c>
      <c r="L31" s="83">
        <f>(SUM('All Data'!K223:K227)-SUM('All Data'!F223:F227))/SUM('All Data'!F223:F227)</f>
        <v>-0.80236112820512817</v>
      </c>
      <c r="M31" s="83">
        <f>IF($B31&lt;2,"N/A",TINV(0.05,$B31-1)*SQRT($B31*SUMPRODUCT((('All Data'!K223:K227-'All Data'!F223:F227)-L31*'All Data'!F223:F227)^2)/(($B31-1)*SUM('All Data'!F223:F227)^2)))</f>
        <v>0.11525877996707047</v>
      </c>
    </row>
    <row r="32" spans="1:13" ht="15" customHeight="1" x14ac:dyDescent="0.35">
      <c r="A32" s="25" t="str">
        <f>'Data Summary'!B31</f>
        <v>LostMary OS5000</v>
      </c>
      <c r="B32" s="82">
        <f>'Data Summary'!U31</f>
        <v>7</v>
      </c>
      <c r="C32" s="82">
        <f>'Data Summary'!V31</f>
        <v>560</v>
      </c>
      <c r="D32" s="82">
        <f>MIN('All Data'!D229:D235)</f>
        <v>80</v>
      </c>
      <c r="E32" s="82">
        <f>MAX('All Data'!D229:D235)</f>
        <v>80</v>
      </c>
      <c r="F32" s="83">
        <f>'Data Summary'!J31</f>
        <v>0.41785714285714287</v>
      </c>
      <c r="G32" s="83">
        <f>'Data Summary'!K31</f>
        <v>0.15764499573900742</v>
      </c>
      <c r="H32" s="83">
        <f>(SUM('All Data'!J229:J235)-SUM('All Data'!D229:D235))/SUM('All Data'!D229:D235)</f>
        <v>-0.41785714285714287</v>
      </c>
      <c r="I32" s="83">
        <f>IF($B32&lt;2,"N/A",TINV(0.05,$B32-1)*SQRT($B32*SUMPRODUCT((('All Data'!J229:J235-'All Data'!D229:D235)-H32*'All Data'!D229:D235)^2)/(($B32-1)*SUM('All Data'!D229:D235)^2)))</f>
        <v>0.15764499573900742</v>
      </c>
      <c r="J32" s="83">
        <f>'Data Summary'!M31</f>
        <v>0.53091220238095249</v>
      </c>
      <c r="K32" s="83">
        <f>'Data Summary'!N31</f>
        <v>0.22340562881043619</v>
      </c>
      <c r="L32" s="83">
        <f>(SUM('All Data'!K229:K235)-SUM('All Data'!F229:F235))/SUM('All Data'!F229:F235)</f>
        <v>-0.53091220238095238</v>
      </c>
      <c r="M32" s="83">
        <f>IF($B32&lt;2,"N/A",TINV(0.05,$B32-1)*SQRT($B32*SUMPRODUCT((('All Data'!K229:K235-'All Data'!F229:F235)-L32*'All Data'!F229:F235)^2)/(($B32-1)*SUM('All Data'!F229:F235)^2)))</f>
        <v>0.22340562881043624</v>
      </c>
    </row>
    <row r="35" spans="1:1" ht="15" customHeight="1" x14ac:dyDescent="0.35">
      <c r="A35" s="25"/>
    </row>
    <row r="36" spans="1:1" ht="15" customHeight="1" x14ac:dyDescent="0.35">
      <c r="A36" s="84" t="s">
        <v>85</v>
      </c>
    </row>
    <row r="37" spans="1:1" ht="15" customHeight="1" x14ac:dyDescent="0.35">
      <c r="A37" s="25" t="s">
        <v>63</v>
      </c>
    </row>
    <row r="38" spans="1:1" ht="15" customHeight="1" x14ac:dyDescent="0.35">
      <c r="A38" s="25" t="s">
        <v>64</v>
      </c>
    </row>
    <row r="39" spans="1:1" ht="15" customHeight="1" x14ac:dyDescent="0.35">
      <c r="A39" s="25" t="s">
        <v>65</v>
      </c>
    </row>
    <row r="40" spans="1:1" ht="15" customHeight="1" x14ac:dyDescent="0.35">
      <c r="A40" s="25" t="s">
        <v>66</v>
      </c>
    </row>
    <row r="41" spans="1:1" ht="15" customHeight="1" x14ac:dyDescent="0.35">
      <c r="A41" s="25" t="s">
        <v>67</v>
      </c>
    </row>
    <row r="42" spans="1:1" ht="15" customHeight="1" x14ac:dyDescent="0.35">
      <c r="A42" s="25"/>
    </row>
    <row r="43" spans="1:1" ht="15" customHeight="1" x14ac:dyDescent="0.35">
      <c r="A43" s="84" t="s">
        <v>68</v>
      </c>
    </row>
    <row r="44" spans="1:1" ht="15" customHeight="1" x14ac:dyDescent="0.35">
      <c r="A44" s="25" t="s">
        <v>69</v>
      </c>
    </row>
    <row r="45" spans="1:1" ht="15" customHeight="1" x14ac:dyDescent="0.35">
      <c r="A45" s="25" t="s">
        <v>70</v>
      </c>
    </row>
    <row r="46" spans="1:1" ht="15" customHeight="1" x14ac:dyDescent="0.35">
      <c r="A46" s="25" t="s">
        <v>86</v>
      </c>
    </row>
    <row r="47" spans="1:1" ht="15" customHeight="1" x14ac:dyDescent="0.35">
      <c r="A47" s="2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243"/>
  <sheetViews>
    <sheetView zoomScale="85" zoomScaleNormal="85" workbookViewId="0">
      <pane ySplit="1" topLeftCell="A196" activePane="bottomLeft" state="frozen"/>
      <selection pane="bottomLeft" activeCell="B237" sqref="B237:B243"/>
    </sheetView>
  </sheetViews>
  <sheetFormatPr defaultColWidth="8.7265625" defaultRowHeight="14.5" x14ac:dyDescent="0.35"/>
  <cols>
    <col min="2" max="2" width="24.7265625" style="1" customWidth="1"/>
    <col min="3" max="3" width="13.453125" style="1" customWidth="1"/>
    <col min="4" max="4" width="15.08984375" style="1" customWidth="1"/>
    <col min="5" max="5" width="17" style="1" customWidth="1"/>
    <col min="6" max="6" width="14.81640625" style="1" customWidth="1"/>
    <col min="7" max="7" width="14" style="1" customWidth="1"/>
    <col min="8" max="8" width="15.26953125" style="1" customWidth="1"/>
    <col min="9" max="9" width="17.26953125" style="1" customWidth="1"/>
    <col min="10" max="10" width="12.54296875" style="1" customWidth="1"/>
    <col min="11" max="11" width="22.453125" style="1" customWidth="1"/>
    <col min="12" max="12" width="17.1796875" style="1" customWidth="1"/>
    <col min="13" max="13" width="17" style="1" customWidth="1"/>
  </cols>
  <sheetData>
    <row r="1" spans="2:21" ht="15" customHeight="1" x14ac:dyDescent="0.35">
      <c r="B1" s="85"/>
      <c r="C1" s="86"/>
      <c r="D1" s="87"/>
      <c r="E1" s="88"/>
      <c r="F1" s="88"/>
      <c r="G1" s="88"/>
      <c r="H1" s="88"/>
      <c r="I1" s="88"/>
      <c r="J1" s="89"/>
      <c r="K1" s="90"/>
      <c r="L1" s="91"/>
      <c r="M1" s="92"/>
    </row>
    <row r="2" spans="2:21" ht="14.25" customHeight="1" x14ac:dyDescent="0.35">
      <c r="B2" s="85" t="s">
        <v>2</v>
      </c>
      <c r="C2" s="86" t="s">
        <v>71</v>
      </c>
      <c r="D2" s="87" t="s">
        <v>3</v>
      </c>
      <c r="E2" s="88" t="s">
        <v>72</v>
      </c>
      <c r="F2" s="88" t="s">
        <v>5</v>
      </c>
      <c r="G2" s="88" t="s">
        <v>6</v>
      </c>
      <c r="H2" s="88" t="s">
        <v>7</v>
      </c>
      <c r="I2" s="88" t="s">
        <v>8</v>
      </c>
      <c r="J2" s="89" t="s">
        <v>9</v>
      </c>
      <c r="K2" s="90" t="s">
        <v>73</v>
      </c>
      <c r="L2" s="91" t="s">
        <v>74</v>
      </c>
      <c r="M2" s="92" t="s">
        <v>75</v>
      </c>
      <c r="R2" s="32"/>
      <c r="S2" s="32"/>
      <c r="T2" s="32"/>
      <c r="U2" s="32"/>
    </row>
    <row r="3" spans="2:21" ht="14.25" customHeight="1" x14ac:dyDescent="0.35">
      <c r="B3" s="117" t="s">
        <v>29</v>
      </c>
      <c r="C3" s="93">
        <v>1</v>
      </c>
      <c r="D3" s="87">
        <v>80</v>
      </c>
      <c r="E3" s="88">
        <v>3</v>
      </c>
      <c r="F3" s="88">
        <f t="shared" ref="F3:F8" si="0">D3*E3</f>
        <v>240</v>
      </c>
      <c r="G3" s="88">
        <v>18</v>
      </c>
      <c r="H3" s="88">
        <v>120</v>
      </c>
      <c r="I3" s="88">
        <v>40</v>
      </c>
      <c r="J3" s="31">
        <v>80</v>
      </c>
      <c r="K3" s="32">
        <v>238.74639999999999</v>
      </c>
      <c r="L3" s="32">
        <f t="shared" ref="L3:L8" si="1">ABS((J3-D3)/D3)</f>
        <v>0</v>
      </c>
      <c r="M3" s="33">
        <f t="shared" ref="M3:M8" si="2">ABS((K3-F3)/F3)</f>
        <v>5.2233333333333576E-3</v>
      </c>
      <c r="R3" s="32"/>
      <c r="S3" s="32"/>
      <c r="T3" s="32"/>
      <c r="U3" s="32"/>
    </row>
    <row r="4" spans="2:21" ht="14.25" customHeight="1" x14ac:dyDescent="0.35">
      <c r="B4" s="117"/>
      <c r="C4" s="1">
        <v>2</v>
      </c>
      <c r="D4" s="31">
        <v>80</v>
      </c>
      <c r="E4" s="32">
        <v>3</v>
      </c>
      <c r="F4" s="32">
        <f t="shared" si="0"/>
        <v>240</v>
      </c>
      <c r="G4" s="32">
        <v>18</v>
      </c>
      <c r="H4" s="32">
        <v>120</v>
      </c>
      <c r="I4" s="32">
        <v>40</v>
      </c>
      <c r="J4" s="31">
        <v>80</v>
      </c>
      <c r="K4" s="32">
        <v>244.4862</v>
      </c>
      <c r="L4" s="32">
        <f t="shared" si="1"/>
        <v>0</v>
      </c>
      <c r="M4" s="33">
        <f t="shared" si="2"/>
        <v>1.8692499999999987E-2</v>
      </c>
      <c r="R4" s="32"/>
      <c r="S4" s="32"/>
      <c r="T4" s="32"/>
      <c r="U4" s="32"/>
    </row>
    <row r="5" spans="2:21" ht="14.25" customHeight="1" x14ac:dyDescent="0.35">
      <c r="B5" s="117"/>
      <c r="C5" s="1">
        <v>3</v>
      </c>
      <c r="D5" s="31">
        <v>80</v>
      </c>
      <c r="E5" s="32">
        <v>3</v>
      </c>
      <c r="F5" s="32">
        <f t="shared" si="0"/>
        <v>240</v>
      </c>
      <c r="G5" s="32">
        <v>18</v>
      </c>
      <c r="H5" s="32">
        <v>120</v>
      </c>
      <c r="I5" s="32">
        <v>40</v>
      </c>
      <c r="J5" s="31">
        <v>80</v>
      </c>
      <c r="K5" s="32">
        <v>250.05719999999999</v>
      </c>
      <c r="L5" s="32">
        <f t="shared" si="1"/>
        <v>0</v>
      </c>
      <c r="M5" s="33">
        <f t="shared" si="2"/>
        <v>4.1904999999999977E-2</v>
      </c>
      <c r="R5" s="32"/>
      <c r="S5" s="32"/>
      <c r="T5" s="32"/>
      <c r="U5" s="32"/>
    </row>
    <row r="6" spans="2:21" ht="14.25" customHeight="1" x14ac:dyDescent="0.35">
      <c r="B6" s="117"/>
      <c r="C6" s="1">
        <v>4</v>
      </c>
      <c r="D6" s="31">
        <v>80</v>
      </c>
      <c r="E6" s="32">
        <v>3</v>
      </c>
      <c r="F6" s="32">
        <f t="shared" si="0"/>
        <v>240</v>
      </c>
      <c r="G6" s="32">
        <v>18</v>
      </c>
      <c r="H6" s="32">
        <v>120</v>
      </c>
      <c r="I6" s="32">
        <v>40</v>
      </c>
      <c r="J6" s="31">
        <v>80</v>
      </c>
      <c r="K6" s="32">
        <v>249.41800000000001</v>
      </c>
      <c r="L6" s="32">
        <f t="shared" si="1"/>
        <v>0</v>
      </c>
      <c r="M6" s="33">
        <f t="shared" si="2"/>
        <v>3.9241666666666696E-2</v>
      </c>
      <c r="R6" s="32"/>
      <c r="S6" s="32"/>
      <c r="T6" s="32"/>
      <c r="U6" s="32"/>
    </row>
    <row r="7" spans="2:21" ht="14.25" customHeight="1" x14ac:dyDescent="0.35">
      <c r="B7" s="117"/>
      <c r="C7" s="1">
        <v>5</v>
      </c>
      <c r="D7" s="31">
        <v>80</v>
      </c>
      <c r="E7" s="32">
        <v>3</v>
      </c>
      <c r="F7" s="32">
        <f t="shared" si="0"/>
        <v>240</v>
      </c>
      <c r="G7" s="32">
        <v>18</v>
      </c>
      <c r="H7" s="32">
        <v>120</v>
      </c>
      <c r="I7" s="32">
        <v>40</v>
      </c>
      <c r="J7" s="31">
        <v>80</v>
      </c>
      <c r="K7" s="32">
        <v>248.3032</v>
      </c>
      <c r="L7" s="32">
        <f t="shared" si="1"/>
        <v>0</v>
      </c>
      <c r="M7" s="33">
        <f t="shared" si="2"/>
        <v>3.4596666666666685E-2</v>
      </c>
      <c r="R7" s="32"/>
      <c r="S7" s="32"/>
      <c r="T7" s="32"/>
      <c r="U7" s="32"/>
    </row>
    <row r="8" spans="2:21" ht="14.25" customHeight="1" x14ac:dyDescent="0.35">
      <c r="B8" s="117"/>
      <c r="C8" s="1">
        <v>6</v>
      </c>
      <c r="D8" s="31">
        <v>48</v>
      </c>
      <c r="E8" s="32">
        <v>3</v>
      </c>
      <c r="F8" s="32">
        <f t="shared" si="0"/>
        <v>144</v>
      </c>
      <c r="G8" s="32">
        <v>18</v>
      </c>
      <c r="H8" s="32">
        <v>120</v>
      </c>
      <c r="I8" s="32">
        <v>40</v>
      </c>
      <c r="J8" s="31">
        <v>48</v>
      </c>
      <c r="K8" s="32">
        <v>149.24709999999999</v>
      </c>
      <c r="L8" s="32">
        <f t="shared" si="1"/>
        <v>0</v>
      </c>
      <c r="M8" s="33">
        <f t="shared" si="2"/>
        <v>3.643819444444437E-2</v>
      </c>
      <c r="R8" s="32"/>
      <c r="S8" s="32"/>
      <c r="T8" s="32"/>
      <c r="U8" s="32"/>
    </row>
    <row r="9" spans="2:21" ht="14.25" customHeight="1" x14ac:dyDescent="0.35">
      <c r="B9" s="117"/>
      <c r="C9" s="94" t="s">
        <v>76</v>
      </c>
      <c r="D9" s="95">
        <f>SUM(D3:D8)</f>
        <v>448</v>
      </c>
      <c r="E9" s="96" t="s">
        <v>77</v>
      </c>
      <c r="F9" s="96">
        <f>SUM(F3:F8)</f>
        <v>1344</v>
      </c>
      <c r="G9" s="96" t="s">
        <v>77</v>
      </c>
      <c r="H9" s="96" t="s">
        <v>77</v>
      </c>
      <c r="I9" s="96" t="s">
        <v>77</v>
      </c>
      <c r="J9" s="95">
        <f>SUM(J3:J8)</f>
        <v>448</v>
      </c>
      <c r="K9" s="96">
        <f>SUM(K3:K8)</f>
        <v>1380.2581</v>
      </c>
      <c r="L9" s="51"/>
      <c r="M9" s="52"/>
      <c r="R9" s="32"/>
      <c r="S9" s="32"/>
      <c r="T9" s="32"/>
      <c r="U9" s="32"/>
    </row>
    <row r="10" spans="2:21" ht="14.25" customHeight="1" x14ac:dyDescent="0.35">
      <c r="B10" s="117" t="s">
        <v>32</v>
      </c>
      <c r="C10" s="93">
        <v>1</v>
      </c>
      <c r="D10" s="31">
        <v>80</v>
      </c>
      <c r="E10" s="32">
        <v>3</v>
      </c>
      <c r="F10" s="32">
        <f>D10*E10</f>
        <v>240</v>
      </c>
      <c r="G10" s="32">
        <v>18</v>
      </c>
      <c r="H10" s="32">
        <v>120</v>
      </c>
      <c r="I10" s="32">
        <v>40</v>
      </c>
      <c r="J10" s="31">
        <v>80</v>
      </c>
      <c r="K10" s="32">
        <v>249.93459999999999</v>
      </c>
      <c r="L10" s="32">
        <f>ABS((J10-D10)/D10)</f>
        <v>0</v>
      </c>
      <c r="M10" s="33">
        <f>ABS((K10-F10)/F10)</f>
        <v>4.1394166666666621E-2</v>
      </c>
      <c r="R10" s="32"/>
      <c r="S10" s="32"/>
      <c r="T10" s="32"/>
      <c r="U10" s="32"/>
    </row>
    <row r="11" spans="2:21" ht="14.25" customHeight="1" x14ac:dyDescent="0.35">
      <c r="B11" s="117"/>
      <c r="C11" s="1">
        <v>2</v>
      </c>
      <c r="D11" s="31">
        <v>80</v>
      </c>
      <c r="E11" s="32">
        <v>3</v>
      </c>
      <c r="F11" s="32">
        <f>D11*E11</f>
        <v>240</v>
      </c>
      <c r="G11" s="32">
        <v>18</v>
      </c>
      <c r="H11" s="32">
        <v>120</v>
      </c>
      <c r="I11" s="32">
        <v>40</v>
      </c>
      <c r="J11" s="31">
        <v>82</v>
      </c>
      <c r="K11" s="32">
        <v>252.4966</v>
      </c>
      <c r="L11" s="32">
        <f>ABS((J11-D11)/D11)</f>
        <v>2.5000000000000001E-2</v>
      </c>
      <c r="M11" s="33">
        <f>ABS((K11-F11)/F11)</f>
        <v>5.2069166666666673E-2</v>
      </c>
      <c r="N11" s="32"/>
      <c r="O11" s="32"/>
    </row>
    <row r="12" spans="2:21" ht="14.25" customHeight="1" x14ac:dyDescent="0.35">
      <c r="B12" s="117"/>
      <c r="C12" s="1">
        <v>3</v>
      </c>
      <c r="D12" s="31">
        <v>80</v>
      </c>
      <c r="E12" s="32">
        <v>3</v>
      </c>
      <c r="F12" s="32">
        <f>D12*E12</f>
        <v>240</v>
      </c>
      <c r="G12" s="32">
        <v>18</v>
      </c>
      <c r="H12" s="32">
        <v>120</v>
      </c>
      <c r="I12" s="32">
        <v>40</v>
      </c>
      <c r="J12" s="31">
        <v>81</v>
      </c>
      <c r="K12" s="32">
        <v>251.0437</v>
      </c>
      <c r="L12" s="32">
        <f>ABS((J12-D12)/D12)</f>
        <v>1.2500000000000001E-2</v>
      </c>
      <c r="M12" s="33">
        <f>ABS((K12-F12)/F12)</f>
        <v>4.601541666666667E-2</v>
      </c>
      <c r="N12" s="32"/>
      <c r="O12" s="32"/>
    </row>
    <row r="13" spans="2:21" ht="14.25" customHeight="1" x14ac:dyDescent="0.35">
      <c r="B13" s="117"/>
      <c r="C13" s="1">
        <v>4</v>
      </c>
      <c r="D13" s="31">
        <v>80</v>
      </c>
      <c r="E13" s="32">
        <v>3</v>
      </c>
      <c r="F13" s="32">
        <f>D13*E13</f>
        <v>240</v>
      </c>
      <c r="G13" s="32">
        <v>18</v>
      </c>
      <c r="H13" s="32">
        <v>120</v>
      </c>
      <c r="I13" s="32">
        <v>40</v>
      </c>
      <c r="J13" s="31">
        <v>80</v>
      </c>
      <c r="K13" s="32">
        <v>250.5128</v>
      </c>
      <c r="L13" s="32">
        <f>ABS((J13-D13)/D13)</f>
        <v>0</v>
      </c>
      <c r="M13" s="33">
        <f>ABS((K13-F13)/F13)</f>
        <v>4.3803333333333326E-2</v>
      </c>
      <c r="N13" s="32"/>
      <c r="O13" s="32"/>
    </row>
    <row r="14" spans="2:21" ht="14.25" customHeight="1" x14ac:dyDescent="0.35">
      <c r="B14" s="117"/>
      <c r="C14" s="1">
        <v>5</v>
      </c>
      <c r="D14" s="31">
        <v>80</v>
      </c>
      <c r="E14" s="32">
        <v>3</v>
      </c>
      <c r="F14" s="32">
        <f>D14*E14</f>
        <v>240</v>
      </c>
      <c r="G14" s="32">
        <v>18</v>
      </c>
      <c r="H14" s="32">
        <v>120</v>
      </c>
      <c r="I14" s="32">
        <v>40</v>
      </c>
      <c r="J14" s="31">
        <v>80</v>
      </c>
      <c r="K14" s="32">
        <v>248.7225</v>
      </c>
      <c r="L14" s="32">
        <f>ABS((J14-D14)/D14)</f>
        <v>0</v>
      </c>
      <c r="M14" s="33">
        <f>ABS((K14-F14)/F14)</f>
        <v>3.6343749999999987E-2</v>
      </c>
      <c r="N14" s="32"/>
      <c r="O14" s="32"/>
    </row>
    <row r="15" spans="2:21" ht="14.25" customHeight="1" x14ac:dyDescent="0.35">
      <c r="B15" s="117"/>
      <c r="C15" s="94" t="s">
        <v>76</v>
      </c>
      <c r="D15" s="95">
        <f>SUM(D10:D14)</f>
        <v>400</v>
      </c>
      <c r="E15" s="96" t="s">
        <v>77</v>
      </c>
      <c r="F15" s="96">
        <f>SUM(F10:F14)</f>
        <v>1200</v>
      </c>
      <c r="G15" s="96" t="s">
        <v>77</v>
      </c>
      <c r="H15" s="96" t="s">
        <v>77</v>
      </c>
      <c r="I15" s="96" t="s">
        <v>77</v>
      </c>
      <c r="J15" s="95">
        <f>SUM(J10:J14)</f>
        <v>403</v>
      </c>
      <c r="K15" s="96">
        <f>SUM(K10:K14)</f>
        <v>1252.7102</v>
      </c>
      <c r="L15" s="51"/>
      <c r="M15" s="52"/>
      <c r="N15" s="32"/>
      <c r="O15" s="32"/>
    </row>
    <row r="16" spans="2:21" ht="14.25" customHeight="1" x14ac:dyDescent="0.35">
      <c r="B16" s="117" t="s">
        <v>48</v>
      </c>
      <c r="C16" s="93">
        <v>1</v>
      </c>
      <c r="D16" s="31">
        <v>80</v>
      </c>
      <c r="E16" s="32">
        <v>3</v>
      </c>
      <c r="F16" s="32">
        <f>D16*E16</f>
        <v>240</v>
      </c>
      <c r="G16" s="32">
        <v>18</v>
      </c>
      <c r="H16" s="32">
        <v>120</v>
      </c>
      <c r="I16" s="32">
        <v>40</v>
      </c>
      <c r="J16" s="31">
        <v>81</v>
      </c>
      <c r="K16" s="32">
        <v>253.93510000000001</v>
      </c>
      <c r="L16" s="32">
        <f t="shared" ref="L16:L22" si="3">ABS((J16-D16)/D16)</f>
        <v>1.2500000000000001E-2</v>
      </c>
      <c r="M16" s="33">
        <f t="shared" ref="M16:M22" si="4">ABS((K16-F16)/F16)</f>
        <v>5.8062916666666693E-2</v>
      </c>
      <c r="N16" s="32"/>
      <c r="O16" s="32"/>
    </row>
    <row r="17" spans="2:15" ht="14.25" customHeight="1" x14ac:dyDescent="0.35">
      <c r="B17" s="117"/>
      <c r="C17" s="1">
        <v>2</v>
      </c>
      <c r="D17" s="31">
        <v>80</v>
      </c>
      <c r="E17" s="32">
        <v>3</v>
      </c>
      <c r="F17" s="32">
        <f>D17*E17</f>
        <v>240</v>
      </c>
      <c r="G17" s="32">
        <v>18</v>
      </c>
      <c r="H17" s="32">
        <v>120</v>
      </c>
      <c r="I17" s="32">
        <v>40</v>
      </c>
      <c r="J17" s="31">
        <v>80</v>
      </c>
      <c r="K17" s="32">
        <v>250.8108</v>
      </c>
      <c r="L17" s="32">
        <f t="shared" si="3"/>
        <v>0</v>
      </c>
      <c r="M17" s="33">
        <f t="shared" si="4"/>
        <v>4.5045000000000002E-2</v>
      </c>
      <c r="N17" s="32"/>
      <c r="O17" s="32"/>
    </row>
    <row r="18" spans="2:15" ht="14.25" customHeight="1" x14ac:dyDescent="0.35">
      <c r="B18" s="117"/>
      <c r="C18" s="1">
        <v>3</v>
      </c>
      <c r="D18" s="31">
        <v>80</v>
      </c>
      <c r="E18" s="32">
        <v>3</v>
      </c>
      <c r="F18" s="32">
        <f>D18*E18</f>
        <v>240</v>
      </c>
      <c r="G18" s="32">
        <v>18</v>
      </c>
      <c r="H18" s="32">
        <v>120</v>
      </c>
      <c r="I18" s="32">
        <v>40</v>
      </c>
      <c r="J18" s="31">
        <v>80</v>
      </c>
      <c r="K18" s="32">
        <v>250.37180000000001</v>
      </c>
      <c r="L18" s="32">
        <f t="shared" si="3"/>
        <v>0</v>
      </c>
      <c r="M18" s="33">
        <f t="shared" si="4"/>
        <v>4.3215833333333363E-2</v>
      </c>
      <c r="N18" s="32"/>
      <c r="O18" s="32"/>
    </row>
    <row r="19" spans="2:15" ht="14.25" customHeight="1" x14ac:dyDescent="0.35">
      <c r="B19" s="117"/>
      <c r="C19" s="1">
        <v>4</v>
      </c>
      <c r="D19" s="31">
        <v>80</v>
      </c>
      <c r="E19" s="32">
        <v>3</v>
      </c>
      <c r="F19" s="32">
        <f>D19*E19</f>
        <v>240</v>
      </c>
      <c r="G19" s="32">
        <v>18</v>
      </c>
      <c r="H19" s="32">
        <v>120</v>
      </c>
      <c r="I19" s="32">
        <v>40</v>
      </c>
      <c r="J19" s="31">
        <v>79</v>
      </c>
      <c r="K19" s="32">
        <v>247.80160000000001</v>
      </c>
      <c r="L19" s="32">
        <f t="shared" si="3"/>
        <v>1.2500000000000001E-2</v>
      </c>
      <c r="M19" s="33">
        <f t="shared" si="4"/>
        <v>3.2506666666666698E-2</v>
      </c>
      <c r="N19" s="32"/>
      <c r="O19" s="32"/>
    </row>
    <row r="20" spans="2:15" ht="14.25" customHeight="1" x14ac:dyDescent="0.35">
      <c r="B20" s="117"/>
      <c r="C20" s="1">
        <v>5</v>
      </c>
      <c r="D20" s="31">
        <v>80</v>
      </c>
      <c r="E20" s="32">
        <v>3</v>
      </c>
      <c r="F20" s="32">
        <f>D20*E20</f>
        <v>240</v>
      </c>
      <c r="G20" s="32">
        <v>18</v>
      </c>
      <c r="H20" s="32">
        <v>120</v>
      </c>
      <c r="I20" s="32">
        <v>40</v>
      </c>
      <c r="J20" s="31">
        <v>80</v>
      </c>
      <c r="K20" s="32">
        <v>249.94470000000001</v>
      </c>
      <c r="L20" s="32">
        <f t="shared" si="3"/>
        <v>0</v>
      </c>
      <c r="M20" s="33">
        <f t="shared" si="4"/>
        <v>4.1436250000000049E-2</v>
      </c>
      <c r="N20" s="32"/>
      <c r="O20" s="32"/>
    </row>
    <row r="21" spans="2:15" ht="14.25" customHeight="1" x14ac:dyDescent="0.35">
      <c r="B21" s="117"/>
      <c r="C21" s="1">
        <v>6</v>
      </c>
      <c r="D21" s="31">
        <v>80</v>
      </c>
      <c r="E21" s="32">
        <v>3</v>
      </c>
      <c r="F21" s="32">
        <v>240</v>
      </c>
      <c r="G21" s="32">
        <v>18</v>
      </c>
      <c r="H21" s="32">
        <v>120</v>
      </c>
      <c r="I21" s="32">
        <v>40</v>
      </c>
      <c r="J21" s="31">
        <v>75</v>
      </c>
      <c r="K21" s="32">
        <v>234.90170000000001</v>
      </c>
      <c r="L21" s="32">
        <f t="shared" si="3"/>
        <v>6.25E-2</v>
      </c>
      <c r="M21" s="33">
        <f t="shared" si="4"/>
        <v>2.1242916666666646E-2</v>
      </c>
    </row>
    <row r="22" spans="2:15" ht="14.25" customHeight="1" x14ac:dyDescent="0.35">
      <c r="B22" s="117"/>
      <c r="C22" s="1">
        <v>7</v>
      </c>
      <c r="D22" s="31">
        <v>22</v>
      </c>
      <c r="E22" s="32">
        <v>3</v>
      </c>
      <c r="F22" s="32">
        <f>D22*E22</f>
        <v>66</v>
      </c>
      <c r="G22" s="32">
        <v>18</v>
      </c>
      <c r="H22" s="32">
        <v>120</v>
      </c>
      <c r="I22" s="32">
        <v>40</v>
      </c>
      <c r="J22" s="31">
        <v>22</v>
      </c>
      <c r="K22" s="32">
        <v>68.007800000000003</v>
      </c>
      <c r="L22" s="32">
        <f t="shared" si="3"/>
        <v>0</v>
      </c>
      <c r="M22" s="33">
        <f t="shared" si="4"/>
        <v>3.0421212121212168E-2</v>
      </c>
    </row>
    <row r="23" spans="2:15" ht="14.25" customHeight="1" x14ac:dyDescent="0.35">
      <c r="B23" s="117"/>
      <c r="C23" s="94" t="s">
        <v>76</v>
      </c>
      <c r="D23" s="95">
        <f>SUM(D16:D22)</f>
        <v>502</v>
      </c>
      <c r="E23" s="96" t="s">
        <v>77</v>
      </c>
      <c r="F23" s="96">
        <f>SUM(F16:F22)</f>
        <v>1506</v>
      </c>
      <c r="G23" s="96" t="s">
        <v>77</v>
      </c>
      <c r="H23" s="96" t="s">
        <v>77</v>
      </c>
      <c r="I23" s="96" t="s">
        <v>77</v>
      </c>
      <c r="J23" s="95">
        <f>SUM(J16:J22)</f>
        <v>497</v>
      </c>
      <c r="K23" s="96">
        <f>SUM(K16:K22)</f>
        <v>1555.7735</v>
      </c>
      <c r="L23" s="51"/>
      <c r="M23" s="52"/>
      <c r="N23" s="32"/>
      <c r="O23" s="32"/>
    </row>
    <row r="24" spans="2:15" ht="14.25" customHeight="1" x14ac:dyDescent="0.35">
      <c r="B24" s="117" t="s">
        <v>41</v>
      </c>
      <c r="C24" s="93">
        <v>1</v>
      </c>
      <c r="D24" s="31">
        <v>80</v>
      </c>
      <c r="E24" s="32">
        <v>3</v>
      </c>
      <c r="F24" s="32">
        <f t="shared" ref="F24:F29" si="5">D24*E24</f>
        <v>240</v>
      </c>
      <c r="G24" s="32">
        <v>18</v>
      </c>
      <c r="H24" s="32">
        <v>120</v>
      </c>
      <c r="I24" s="32">
        <v>40</v>
      </c>
      <c r="J24" s="31">
        <v>79</v>
      </c>
      <c r="K24" s="32">
        <v>242.50569999999999</v>
      </c>
      <c r="L24" s="32">
        <f t="shared" ref="L24:L29" si="6">ABS((J24-D24)/D24)</f>
        <v>1.2500000000000001E-2</v>
      </c>
      <c r="M24" s="33">
        <f t="shared" ref="M24:M29" si="7">ABS((K24-F24)/F24)</f>
        <v>1.0440416666666626E-2</v>
      </c>
      <c r="N24" s="32"/>
      <c r="O24" s="32"/>
    </row>
    <row r="25" spans="2:15" ht="14.25" customHeight="1" x14ac:dyDescent="0.35">
      <c r="B25" s="117"/>
      <c r="C25" s="1">
        <v>2</v>
      </c>
      <c r="D25" s="31">
        <v>80</v>
      </c>
      <c r="E25" s="32">
        <v>3</v>
      </c>
      <c r="F25" s="32">
        <f t="shared" si="5"/>
        <v>240</v>
      </c>
      <c r="G25" s="32">
        <v>18</v>
      </c>
      <c r="H25" s="32">
        <v>120</v>
      </c>
      <c r="I25" s="32">
        <v>40</v>
      </c>
      <c r="J25" s="31">
        <v>78</v>
      </c>
      <c r="K25" s="32">
        <v>244.0737</v>
      </c>
      <c r="L25" s="32">
        <f t="shared" si="6"/>
        <v>2.5000000000000001E-2</v>
      </c>
      <c r="M25" s="33">
        <f t="shared" si="7"/>
        <v>1.697375000000001E-2</v>
      </c>
      <c r="N25" s="32"/>
      <c r="O25" s="32"/>
    </row>
    <row r="26" spans="2:15" ht="14.25" customHeight="1" x14ac:dyDescent="0.35">
      <c r="B26" s="117"/>
      <c r="C26" s="1">
        <v>3</v>
      </c>
      <c r="D26" s="31">
        <v>80</v>
      </c>
      <c r="E26" s="32">
        <v>3</v>
      </c>
      <c r="F26" s="32">
        <f t="shared" si="5"/>
        <v>240</v>
      </c>
      <c r="G26" s="32">
        <v>18</v>
      </c>
      <c r="H26" s="32">
        <v>120</v>
      </c>
      <c r="I26" s="32">
        <v>40</v>
      </c>
      <c r="J26" s="31">
        <v>81</v>
      </c>
      <c r="K26" s="32">
        <v>250.9333</v>
      </c>
      <c r="L26" s="32">
        <f t="shared" si="6"/>
        <v>1.2500000000000001E-2</v>
      </c>
      <c r="M26" s="33">
        <f t="shared" si="7"/>
        <v>4.5555416666666675E-2</v>
      </c>
      <c r="N26" s="32"/>
      <c r="O26" s="32"/>
    </row>
    <row r="27" spans="2:15" ht="14.25" customHeight="1" x14ac:dyDescent="0.35">
      <c r="B27" s="117"/>
      <c r="C27" s="1">
        <v>4</v>
      </c>
      <c r="D27" s="31">
        <v>80</v>
      </c>
      <c r="E27" s="32">
        <v>3</v>
      </c>
      <c r="F27" s="32">
        <f t="shared" si="5"/>
        <v>240</v>
      </c>
      <c r="G27" s="32">
        <v>18</v>
      </c>
      <c r="H27" s="32">
        <v>120</v>
      </c>
      <c r="I27" s="32">
        <v>40</v>
      </c>
      <c r="J27" s="31">
        <v>76</v>
      </c>
      <c r="K27" s="32">
        <v>237.7629</v>
      </c>
      <c r="L27" s="32">
        <f t="shared" si="6"/>
        <v>0.05</v>
      </c>
      <c r="M27" s="33">
        <f t="shared" si="7"/>
        <v>9.3212499999999927E-3</v>
      </c>
      <c r="N27" s="32"/>
      <c r="O27" s="32"/>
    </row>
    <row r="28" spans="2:15" ht="14.25" customHeight="1" x14ac:dyDescent="0.35">
      <c r="B28" s="117"/>
      <c r="C28" s="1">
        <v>5</v>
      </c>
      <c r="D28" s="31">
        <v>80</v>
      </c>
      <c r="E28" s="32">
        <v>3</v>
      </c>
      <c r="F28" s="32">
        <f t="shared" si="5"/>
        <v>240</v>
      </c>
      <c r="G28" s="32">
        <v>18</v>
      </c>
      <c r="H28" s="32">
        <v>120</v>
      </c>
      <c r="I28" s="32">
        <v>40</v>
      </c>
      <c r="J28" s="31">
        <v>78</v>
      </c>
      <c r="K28" s="32">
        <v>244.59039999999999</v>
      </c>
      <c r="L28" s="32">
        <f t="shared" si="6"/>
        <v>2.5000000000000001E-2</v>
      </c>
      <c r="M28" s="33">
        <f t="shared" si="7"/>
        <v>1.9126666666666618E-2</v>
      </c>
      <c r="N28" s="32"/>
      <c r="O28" s="32"/>
    </row>
    <row r="29" spans="2:15" ht="14.25" customHeight="1" x14ac:dyDescent="0.35">
      <c r="B29" s="117"/>
      <c r="C29" s="1">
        <v>6</v>
      </c>
      <c r="D29" s="31">
        <v>55</v>
      </c>
      <c r="E29" s="32">
        <v>3</v>
      </c>
      <c r="F29" s="32">
        <f t="shared" si="5"/>
        <v>165</v>
      </c>
      <c r="G29" s="32">
        <v>18</v>
      </c>
      <c r="H29" s="32">
        <v>120</v>
      </c>
      <c r="I29" s="32">
        <v>40</v>
      </c>
      <c r="J29" s="31">
        <v>57</v>
      </c>
      <c r="K29" s="32">
        <v>175.9554</v>
      </c>
      <c r="L29" s="32">
        <f t="shared" si="6"/>
        <v>3.6363636363636362E-2</v>
      </c>
      <c r="M29" s="33">
        <f t="shared" si="7"/>
        <v>6.6396363636363614E-2</v>
      </c>
      <c r="N29" s="32"/>
      <c r="O29" s="32"/>
    </row>
    <row r="30" spans="2:15" ht="14.25" customHeight="1" x14ac:dyDescent="0.35">
      <c r="B30" s="117"/>
      <c r="C30" s="94" t="s">
        <v>76</v>
      </c>
      <c r="D30" s="95">
        <f>SUM(D24:D29)</f>
        <v>455</v>
      </c>
      <c r="E30" s="96" t="s">
        <v>77</v>
      </c>
      <c r="F30" s="96">
        <f>SUM(F24:F29)</f>
        <v>1365</v>
      </c>
      <c r="G30" s="96" t="s">
        <v>77</v>
      </c>
      <c r="H30" s="96" t="s">
        <v>77</v>
      </c>
      <c r="I30" s="96" t="s">
        <v>77</v>
      </c>
      <c r="J30" s="95">
        <f>SUM(J24:J29)</f>
        <v>449</v>
      </c>
      <c r="K30" s="96">
        <f>SUM(K24:K29)</f>
        <v>1395.8214</v>
      </c>
      <c r="L30" s="51"/>
      <c r="M30" s="52"/>
      <c r="N30" s="32"/>
      <c r="O30" s="32"/>
    </row>
    <row r="31" spans="2:15" ht="14.25" customHeight="1" x14ac:dyDescent="0.35">
      <c r="B31" s="117" t="s">
        <v>30</v>
      </c>
      <c r="C31" s="93">
        <v>1</v>
      </c>
      <c r="D31" s="31">
        <v>80</v>
      </c>
      <c r="E31" s="32">
        <v>3</v>
      </c>
      <c r="F31" s="32">
        <f>D31*E31</f>
        <v>240</v>
      </c>
      <c r="G31" s="32">
        <v>18</v>
      </c>
      <c r="H31" s="32">
        <v>120</v>
      </c>
      <c r="I31" s="32">
        <v>40</v>
      </c>
      <c r="J31" s="31">
        <v>80</v>
      </c>
      <c r="K31" s="32">
        <v>250.78720000000001</v>
      </c>
      <c r="L31" s="32">
        <f t="shared" ref="L31:L37" si="8">ABS((J31-D31)/D31)</f>
        <v>0</v>
      </c>
      <c r="M31" s="33">
        <f t="shared" ref="M31:M37" si="9">ABS((K31-F31)/F31)</f>
        <v>4.4946666666666718E-2</v>
      </c>
    </row>
    <row r="32" spans="2:15" ht="14.25" customHeight="1" x14ac:dyDescent="0.35">
      <c r="B32" s="117"/>
      <c r="C32" s="1">
        <v>2</v>
      </c>
      <c r="D32" s="31">
        <v>80</v>
      </c>
      <c r="E32" s="32">
        <v>3</v>
      </c>
      <c r="F32" s="32">
        <f>D32*E32</f>
        <v>240</v>
      </c>
      <c r="G32" s="32">
        <v>18</v>
      </c>
      <c r="H32" s="32">
        <v>120</v>
      </c>
      <c r="I32" s="32">
        <v>40</v>
      </c>
      <c r="J32" s="31">
        <v>80</v>
      </c>
      <c r="K32" s="32">
        <v>254.51900000000001</v>
      </c>
      <c r="L32" s="32">
        <f t="shared" si="8"/>
        <v>0</v>
      </c>
      <c r="M32" s="33">
        <f t="shared" si="9"/>
        <v>6.0495833333333353E-2</v>
      </c>
    </row>
    <row r="33" spans="2:13" ht="14.25" customHeight="1" x14ac:dyDescent="0.35">
      <c r="B33" s="117"/>
      <c r="C33" s="1">
        <v>3</v>
      </c>
      <c r="D33" s="31">
        <v>80</v>
      </c>
      <c r="E33" s="32">
        <v>3</v>
      </c>
      <c r="F33" s="32">
        <f>D33*E33</f>
        <v>240</v>
      </c>
      <c r="G33" s="32">
        <v>18</v>
      </c>
      <c r="H33" s="32">
        <v>120</v>
      </c>
      <c r="I33" s="32">
        <v>40</v>
      </c>
      <c r="J33" s="31">
        <v>77</v>
      </c>
      <c r="K33" s="32">
        <v>245.89750000000001</v>
      </c>
      <c r="L33" s="32">
        <f t="shared" si="8"/>
        <v>3.7499999999999999E-2</v>
      </c>
      <c r="M33" s="33">
        <f t="shared" si="9"/>
        <v>2.4572916666666701E-2</v>
      </c>
    </row>
    <row r="34" spans="2:13" ht="14.25" customHeight="1" x14ac:dyDescent="0.35">
      <c r="B34" s="117"/>
      <c r="C34" s="1">
        <v>4</v>
      </c>
      <c r="D34" s="31">
        <v>80</v>
      </c>
      <c r="E34" s="32">
        <v>3</v>
      </c>
      <c r="F34" s="32">
        <f>D34*E34</f>
        <v>240</v>
      </c>
      <c r="G34" s="32">
        <v>18</v>
      </c>
      <c r="H34" s="32">
        <v>120</v>
      </c>
      <c r="I34" s="32">
        <v>40</v>
      </c>
      <c r="J34" s="31">
        <v>81</v>
      </c>
      <c r="K34" s="32">
        <v>261.99759999999998</v>
      </c>
      <c r="L34" s="32">
        <f t="shared" si="8"/>
        <v>1.2500000000000001E-2</v>
      </c>
      <c r="M34" s="33">
        <f t="shared" si="9"/>
        <v>9.1656666666666567E-2</v>
      </c>
    </row>
    <row r="35" spans="2:13" ht="14.25" customHeight="1" x14ac:dyDescent="0.35">
      <c r="B35" s="117"/>
      <c r="C35" s="1">
        <v>5</v>
      </c>
      <c r="D35" s="31">
        <v>80</v>
      </c>
      <c r="E35" s="32">
        <v>3</v>
      </c>
      <c r="F35" s="32">
        <f>D35*E35</f>
        <v>240</v>
      </c>
      <c r="G35" s="32">
        <v>18</v>
      </c>
      <c r="H35" s="32">
        <v>120</v>
      </c>
      <c r="I35" s="32">
        <v>40</v>
      </c>
      <c r="J35" s="31">
        <v>80</v>
      </c>
      <c r="K35" s="32">
        <v>261.91829999999999</v>
      </c>
      <c r="L35" s="32">
        <f t="shared" si="8"/>
        <v>0</v>
      </c>
      <c r="M35" s="33">
        <f t="shared" si="9"/>
        <v>9.1326249999999956E-2</v>
      </c>
    </row>
    <row r="36" spans="2:13" ht="14.25" customHeight="1" x14ac:dyDescent="0.35">
      <c r="B36" s="117"/>
      <c r="C36" s="1">
        <v>6</v>
      </c>
      <c r="D36" s="31">
        <v>80</v>
      </c>
      <c r="E36" s="32">
        <v>3</v>
      </c>
      <c r="F36" s="32">
        <v>240</v>
      </c>
      <c r="G36" s="32">
        <v>18</v>
      </c>
      <c r="H36" s="32">
        <v>120</v>
      </c>
      <c r="I36" s="32">
        <v>40</v>
      </c>
      <c r="J36" s="31">
        <v>80</v>
      </c>
      <c r="K36" s="32">
        <v>261.58350000000002</v>
      </c>
      <c r="L36" s="32">
        <f t="shared" si="8"/>
        <v>0</v>
      </c>
      <c r="M36" s="33">
        <f t="shared" si="9"/>
        <v>8.993125000000006E-2</v>
      </c>
    </row>
    <row r="37" spans="2:13" ht="14.25" customHeight="1" x14ac:dyDescent="0.35">
      <c r="B37" s="117"/>
      <c r="C37" s="1">
        <v>7</v>
      </c>
      <c r="D37" s="31">
        <v>80</v>
      </c>
      <c r="E37" s="32">
        <v>3</v>
      </c>
      <c r="F37" s="32">
        <f>D37*E37</f>
        <v>240</v>
      </c>
      <c r="G37" s="32">
        <v>18</v>
      </c>
      <c r="H37" s="32">
        <v>120</v>
      </c>
      <c r="I37" s="32">
        <v>40</v>
      </c>
      <c r="J37" s="31">
        <v>80</v>
      </c>
      <c r="K37" s="32">
        <v>257.3476</v>
      </c>
      <c r="L37" s="32">
        <f t="shared" si="8"/>
        <v>0</v>
      </c>
      <c r="M37" s="33">
        <f t="shared" si="9"/>
        <v>7.2281666666666661E-2</v>
      </c>
    </row>
    <row r="38" spans="2:13" ht="14.25" customHeight="1" x14ac:dyDescent="0.35">
      <c r="B38" s="117"/>
      <c r="C38" s="94" t="s">
        <v>76</v>
      </c>
      <c r="D38" s="95">
        <f>SUM(D31:D37)</f>
        <v>560</v>
      </c>
      <c r="E38" s="96" t="s">
        <v>77</v>
      </c>
      <c r="F38" s="96">
        <f>SUM(F31:F37)</f>
        <v>1680</v>
      </c>
      <c r="G38" s="96" t="s">
        <v>77</v>
      </c>
      <c r="H38" s="96" t="s">
        <v>77</v>
      </c>
      <c r="I38" s="96" t="s">
        <v>77</v>
      </c>
      <c r="J38" s="95">
        <f>SUM(J31:J37)</f>
        <v>558</v>
      </c>
      <c r="K38" s="96">
        <f>SUM(K31:K37)</f>
        <v>1794.0507</v>
      </c>
      <c r="L38" s="51"/>
      <c r="M38" s="52"/>
    </row>
    <row r="39" spans="2:13" ht="14.25" customHeight="1" x14ac:dyDescent="0.35">
      <c r="B39" s="117" t="s">
        <v>25</v>
      </c>
      <c r="C39" s="93">
        <v>1</v>
      </c>
      <c r="D39" s="31">
        <v>80</v>
      </c>
      <c r="E39" s="32">
        <v>3</v>
      </c>
      <c r="F39" s="32">
        <f>D39*E39</f>
        <v>240</v>
      </c>
      <c r="G39" s="32">
        <v>18</v>
      </c>
      <c r="H39" s="32">
        <v>120</v>
      </c>
      <c r="I39" s="32">
        <v>40</v>
      </c>
      <c r="J39" s="31">
        <v>80</v>
      </c>
      <c r="K39" s="32">
        <v>249.3192</v>
      </c>
      <c r="L39" s="32">
        <f>ABS((J39-D39)/D39)</f>
        <v>0</v>
      </c>
      <c r="M39" s="33">
        <f>ABS((K39-F39)/F39)</f>
        <v>3.8829999999999983E-2</v>
      </c>
    </row>
    <row r="40" spans="2:13" ht="14.25" customHeight="1" x14ac:dyDescent="0.35">
      <c r="B40" s="117"/>
      <c r="C40" s="1">
        <v>2</v>
      </c>
      <c r="D40" s="31">
        <v>80</v>
      </c>
      <c r="E40" s="32">
        <v>3</v>
      </c>
      <c r="F40" s="32">
        <f>D40*E40</f>
        <v>240</v>
      </c>
      <c r="G40" s="32">
        <v>18</v>
      </c>
      <c r="H40" s="32">
        <v>120</v>
      </c>
      <c r="I40" s="32">
        <v>40</v>
      </c>
      <c r="J40" s="31">
        <v>80</v>
      </c>
      <c r="K40" s="32">
        <v>248.4511</v>
      </c>
      <c r="L40" s="32">
        <f>ABS((J40-D40)/D40)</f>
        <v>0</v>
      </c>
      <c r="M40" s="33">
        <f>ABS((K40-F40)/F40)</f>
        <v>3.5212916666666656E-2</v>
      </c>
    </row>
    <row r="41" spans="2:13" ht="14.25" customHeight="1" x14ac:dyDescent="0.35">
      <c r="B41" s="117"/>
      <c r="C41" s="1">
        <v>3</v>
      </c>
      <c r="D41" s="31">
        <v>80</v>
      </c>
      <c r="E41" s="32">
        <v>3</v>
      </c>
      <c r="F41" s="32">
        <f>D41*E41</f>
        <v>240</v>
      </c>
      <c r="G41" s="32">
        <v>18</v>
      </c>
      <c r="H41" s="32">
        <v>120</v>
      </c>
      <c r="I41" s="32">
        <v>40</v>
      </c>
      <c r="J41" s="31">
        <v>80</v>
      </c>
      <c r="K41" s="32">
        <v>249.44</v>
      </c>
      <c r="L41" s="32">
        <f>ABS((J41-D41)/D41)</f>
        <v>0</v>
      </c>
      <c r="M41" s="33">
        <f>ABS((K41-F41)/F41)</f>
        <v>3.9333333333333324E-2</v>
      </c>
    </row>
    <row r="42" spans="2:13" ht="14.25" customHeight="1" x14ac:dyDescent="0.35">
      <c r="B42" s="117"/>
      <c r="C42" s="1">
        <v>4</v>
      </c>
      <c r="D42" s="31">
        <v>80</v>
      </c>
      <c r="E42" s="32">
        <v>3</v>
      </c>
      <c r="F42" s="32">
        <f>D42*E42</f>
        <v>240</v>
      </c>
      <c r="G42" s="32">
        <v>18</v>
      </c>
      <c r="H42" s="32">
        <v>120</v>
      </c>
      <c r="I42" s="32">
        <v>40</v>
      </c>
      <c r="J42" s="31">
        <v>80</v>
      </c>
      <c r="K42" s="32">
        <v>250.22730000000001</v>
      </c>
      <c r="L42" s="32">
        <f>ABS((J42-D42)/D42)</f>
        <v>0</v>
      </c>
      <c r="M42" s="33">
        <f>ABS((K42-F42)/F42)</f>
        <v>4.2613750000000054E-2</v>
      </c>
    </row>
    <row r="43" spans="2:13" ht="14.25" customHeight="1" x14ac:dyDescent="0.35">
      <c r="B43" s="117"/>
      <c r="C43" s="1">
        <v>5</v>
      </c>
      <c r="D43" s="31">
        <v>80</v>
      </c>
      <c r="E43" s="32">
        <v>3</v>
      </c>
      <c r="F43" s="32">
        <f>D43*E43</f>
        <v>240</v>
      </c>
      <c r="G43" s="32">
        <v>18</v>
      </c>
      <c r="H43" s="32">
        <v>120</v>
      </c>
      <c r="I43" s="32">
        <v>40</v>
      </c>
      <c r="J43" s="31">
        <v>77</v>
      </c>
      <c r="K43" s="32">
        <v>243.59270000000001</v>
      </c>
      <c r="L43" s="32">
        <f>ABS((J43-D43)/D43)</f>
        <v>3.7499999999999999E-2</v>
      </c>
      <c r="M43" s="33">
        <f>ABS((K43-F43)/F43)</f>
        <v>1.4969583333333366E-2</v>
      </c>
    </row>
    <row r="44" spans="2:13" ht="14.25" customHeight="1" x14ac:dyDescent="0.35">
      <c r="B44" s="117"/>
      <c r="C44" s="94" t="s">
        <v>76</v>
      </c>
      <c r="D44" s="95">
        <f>SUM(D39:D43)</f>
        <v>400</v>
      </c>
      <c r="E44" s="96" t="s">
        <v>77</v>
      </c>
      <c r="F44" s="96">
        <f>SUM(F39:F43)</f>
        <v>1200</v>
      </c>
      <c r="G44" s="96" t="s">
        <v>77</v>
      </c>
      <c r="H44" s="96" t="s">
        <v>77</v>
      </c>
      <c r="I44" s="96" t="s">
        <v>77</v>
      </c>
      <c r="J44" s="95">
        <f>SUM(J39:J43)</f>
        <v>397</v>
      </c>
      <c r="K44" s="96">
        <f>SUM(K39:K43)</f>
        <v>1241.0302999999999</v>
      </c>
      <c r="L44" s="51"/>
      <c r="M44" s="52"/>
    </row>
    <row r="45" spans="2:13" ht="14.25" customHeight="1" x14ac:dyDescent="0.35">
      <c r="B45" s="117" t="s">
        <v>78</v>
      </c>
      <c r="C45" s="93">
        <v>1</v>
      </c>
      <c r="D45" s="31">
        <v>30</v>
      </c>
      <c r="E45" s="32">
        <v>3</v>
      </c>
      <c r="F45" s="32">
        <v>87.06</v>
      </c>
      <c r="G45" s="32">
        <v>18</v>
      </c>
      <c r="H45" s="32" t="s">
        <v>77</v>
      </c>
      <c r="I45" s="32" t="s">
        <v>77</v>
      </c>
      <c r="J45" s="31">
        <v>30</v>
      </c>
      <c r="K45" s="32">
        <v>85.025599999999997</v>
      </c>
      <c r="L45" s="32"/>
      <c r="M45" s="33"/>
    </row>
    <row r="46" spans="2:13" ht="14.25" customHeight="1" x14ac:dyDescent="0.35">
      <c r="B46" s="117"/>
      <c r="C46" s="94" t="s">
        <v>76</v>
      </c>
      <c r="D46" s="95">
        <f>D45</f>
        <v>30</v>
      </c>
      <c r="E46" s="96" t="s">
        <v>77</v>
      </c>
      <c r="F46" s="96">
        <f>F45</f>
        <v>87.06</v>
      </c>
      <c r="G46" s="96" t="s">
        <v>77</v>
      </c>
      <c r="H46" s="96" t="s">
        <v>77</v>
      </c>
      <c r="I46" s="96" t="s">
        <v>77</v>
      </c>
      <c r="J46" s="95">
        <f>J45</f>
        <v>30</v>
      </c>
      <c r="K46" s="96">
        <f>K45</f>
        <v>85.025599999999997</v>
      </c>
      <c r="L46" s="51"/>
      <c r="M46" s="52"/>
    </row>
    <row r="47" spans="2:13" ht="14.25" customHeight="1" x14ac:dyDescent="0.35">
      <c r="B47" s="117" t="s">
        <v>39</v>
      </c>
      <c r="C47" s="93">
        <v>1</v>
      </c>
      <c r="D47" s="31">
        <v>80</v>
      </c>
      <c r="E47" s="32">
        <v>3</v>
      </c>
      <c r="F47" s="32">
        <f t="shared" ref="F47:F52" si="10">D47*E47</f>
        <v>240</v>
      </c>
      <c r="G47" s="32">
        <v>18</v>
      </c>
      <c r="H47" s="32">
        <v>120</v>
      </c>
      <c r="I47" s="32">
        <v>40</v>
      </c>
      <c r="J47" s="31">
        <v>80</v>
      </c>
      <c r="K47" s="32">
        <v>247.2653</v>
      </c>
      <c r="L47" s="32">
        <f t="shared" ref="L47:L52" si="11">ABS((J47-D47)/D47)</f>
        <v>0</v>
      </c>
      <c r="M47" s="33">
        <f t="shared" ref="M47:M52" si="12">ABS((K47-F47)/F47)</f>
        <v>3.0272083333333318E-2</v>
      </c>
    </row>
    <row r="48" spans="2:13" ht="14.25" customHeight="1" x14ac:dyDescent="0.35">
      <c r="B48" s="117"/>
      <c r="C48" s="1">
        <v>2</v>
      </c>
      <c r="D48" s="31">
        <v>80</v>
      </c>
      <c r="E48" s="32">
        <v>3</v>
      </c>
      <c r="F48" s="32">
        <f t="shared" si="10"/>
        <v>240</v>
      </c>
      <c r="G48" s="32">
        <v>18</v>
      </c>
      <c r="H48" s="32">
        <v>120</v>
      </c>
      <c r="I48" s="32">
        <v>40</v>
      </c>
      <c r="J48" s="31">
        <v>80</v>
      </c>
      <c r="K48" s="32">
        <v>246.96</v>
      </c>
      <c r="L48" s="32">
        <f t="shared" si="11"/>
        <v>0</v>
      </c>
      <c r="M48" s="33">
        <f t="shared" si="12"/>
        <v>2.9000000000000033E-2</v>
      </c>
    </row>
    <row r="49" spans="2:13" ht="14.25" customHeight="1" x14ac:dyDescent="0.35">
      <c r="B49" s="117"/>
      <c r="C49" s="1">
        <v>3</v>
      </c>
      <c r="D49" s="31">
        <v>80</v>
      </c>
      <c r="E49" s="32">
        <v>3</v>
      </c>
      <c r="F49" s="32">
        <f t="shared" si="10"/>
        <v>240</v>
      </c>
      <c r="G49" s="32">
        <v>18</v>
      </c>
      <c r="H49" s="32">
        <v>120</v>
      </c>
      <c r="I49" s="32">
        <v>40</v>
      </c>
      <c r="J49" s="31">
        <v>80</v>
      </c>
      <c r="K49" s="32">
        <v>246.79509999999999</v>
      </c>
      <c r="L49" s="32">
        <f t="shared" si="11"/>
        <v>0</v>
      </c>
      <c r="M49" s="33">
        <f t="shared" si="12"/>
        <v>2.8312916666666629E-2</v>
      </c>
    </row>
    <row r="50" spans="2:13" ht="14.25" customHeight="1" x14ac:dyDescent="0.35">
      <c r="B50" s="117"/>
      <c r="C50" s="1">
        <v>4</v>
      </c>
      <c r="D50" s="31">
        <v>80</v>
      </c>
      <c r="E50" s="32">
        <v>3</v>
      </c>
      <c r="F50" s="32">
        <f t="shared" si="10"/>
        <v>240</v>
      </c>
      <c r="G50" s="32">
        <v>18</v>
      </c>
      <c r="H50" s="32">
        <v>120</v>
      </c>
      <c r="I50" s="32">
        <v>40</v>
      </c>
      <c r="J50" s="31">
        <v>80</v>
      </c>
      <c r="K50" s="32">
        <v>247.00360000000001</v>
      </c>
      <c r="L50" s="32">
        <f t="shared" si="11"/>
        <v>0</v>
      </c>
      <c r="M50" s="33">
        <f t="shared" si="12"/>
        <v>2.9181666666666693E-2</v>
      </c>
    </row>
    <row r="51" spans="2:13" ht="14.25" customHeight="1" x14ac:dyDescent="0.35">
      <c r="B51" s="117"/>
      <c r="C51" s="1">
        <v>5</v>
      </c>
      <c r="D51" s="31">
        <v>80</v>
      </c>
      <c r="E51" s="32">
        <v>3</v>
      </c>
      <c r="F51" s="32">
        <f t="shared" si="10"/>
        <v>240</v>
      </c>
      <c r="G51" s="32">
        <v>18</v>
      </c>
      <c r="H51" s="32">
        <v>120</v>
      </c>
      <c r="I51" s="32">
        <v>40</v>
      </c>
      <c r="J51" s="31">
        <v>80</v>
      </c>
      <c r="K51" s="32">
        <v>246.25370000000001</v>
      </c>
      <c r="L51" s="32">
        <f t="shared" si="11"/>
        <v>0</v>
      </c>
      <c r="M51" s="33">
        <f t="shared" si="12"/>
        <v>2.6057083333333373E-2</v>
      </c>
    </row>
    <row r="52" spans="2:13" ht="14.25" customHeight="1" x14ac:dyDescent="0.35">
      <c r="B52" s="117"/>
      <c r="C52" s="1">
        <v>6</v>
      </c>
      <c r="D52" s="31">
        <v>80</v>
      </c>
      <c r="E52" s="32">
        <v>3</v>
      </c>
      <c r="F52" s="32">
        <f t="shared" si="10"/>
        <v>240</v>
      </c>
      <c r="G52" s="32">
        <v>18</v>
      </c>
      <c r="H52" s="32">
        <v>120</v>
      </c>
      <c r="I52" s="32">
        <v>40</v>
      </c>
      <c r="J52" s="31">
        <v>80</v>
      </c>
      <c r="K52" s="32">
        <v>246.95259999999999</v>
      </c>
      <c r="L52" s="32">
        <f t="shared" si="11"/>
        <v>0</v>
      </c>
      <c r="M52" s="33">
        <f t="shared" si="12"/>
        <v>2.8969166666666622E-2</v>
      </c>
    </row>
    <row r="53" spans="2:13" ht="14.25" customHeight="1" x14ac:dyDescent="0.35">
      <c r="B53" s="117"/>
      <c r="C53" s="94" t="s">
        <v>76</v>
      </c>
      <c r="D53" s="95">
        <f>SUM(D47:D52)</f>
        <v>480</v>
      </c>
      <c r="E53" s="96" t="s">
        <v>77</v>
      </c>
      <c r="F53" s="96">
        <f>SUM(F47:F52)</f>
        <v>1440</v>
      </c>
      <c r="G53" s="96" t="s">
        <v>77</v>
      </c>
      <c r="H53" s="96" t="s">
        <v>77</v>
      </c>
      <c r="I53" s="96" t="s">
        <v>77</v>
      </c>
      <c r="J53" s="95">
        <f>SUM(J47:J52)</f>
        <v>480</v>
      </c>
      <c r="K53" s="96">
        <f>SUM(K47:K52)</f>
        <v>1481.2303000000002</v>
      </c>
      <c r="L53" s="51"/>
      <c r="M53" s="52"/>
    </row>
    <row r="54" spans="2:13" ht="14.25" customHeight="1" x14ac:dyDescent="0.35">
      <c r="B54" s="117" t="s">
        <v>36</v>
      </c>
      <c r="C54" s="93">
        <v>1</v>
      </c>
      <c r="D54" s="31">
        <v>80</v>
      </c>
      <c r="E54" s="32">
        <v>3</v>
      </c>
      <c r="F54" s="32">
        <f>D54*E54</f>
        <v>240</v>
      </c>
      <c r="G54" s="32">
        <v>18</v>
      </c>
      <c r="H54" s="32">
        <v>120</v>
      </c>
      <c r="I54" s="32">
        <v>40</v>
      </c>
      <c r="J54" s="31">
        <v>80</v>
      </c>
      <c r="K54" s="32">
        <v>237.07560000000001</v>
      </c>
      <c r="L54" s="32">
        <f>ABS((J54-D54)/D54)</f>
        <v>0</v>
      </c>
      <c r="M54" s="33">
        <f>ABS((K54-F54)/F54)</f>
        <v>1.2184999999999965E-2</v>
      </c>
    </row>
    <row r="55" spans="2:13" ht="14.25" customHeight="1" x14ac:dyDescent="0.35">
      <c r="B55" s="117"/>
      <c r="C55" s="1">
        <v>2</v>
      </c>
      <c r="D55" s="31">
        <v>80</v>
      </c>
      <c r="E55" s="32">
        <v>3</v>
      </c>
      <c r="F55" s="32">
        <f>D55*E55</f>
        <v>240</v>
      </c>
      <c r="G55" s="32">
        <v>18</v>
      </c>
      <c r="H55" s="32">
        <v>120</v>
      </c>
      <c r="I55" s="32">
        <v>40</v>
      </c>
      <c r="J55" s="31">
        <v>80</v>
      </c>
      <c r="K55" s="32">
        <v>239.6019</v>
      </c>
      <c r="L55" s="32">
        <f>ABS((J55-D55)/D55)</f>
        <v>0</v>
      </c>
      <c r="M55" s="33">
        <f>ABS((K55-F55)/F55)</f>
        <v>1.6587499999999977E-3</v>
      </c>
    </row>
    <row r="56" spans="2:13" ht="14.25" customHeight="1" x14ac:dyDescent="0.35">
      <c r="B56" s="117"/>
      <c r="C56" s="1">
        <v>3</v>
      </c>
      <c r="D56" s="31">
        <v>25</v>
      </c>
      <c r="E56" s="32">
        <v>3</v>
      </c>
      <c r="F56" s="32">
        <f>D56*E56</f>
        <v>75</v>
      </c>
      <c r="G56" s="32">
        <v>18</v>
      </c>
      <c r="H56" s="32">
        <v>120</v>
      </c>
      <c r="I56" s="32">
        <v>40</v>
      </c>
      <c r="J56" s="31">
        <v>25</v>
      </c>
      <c r="K56" s="32">
        <v>74.238900000000001</v>
      </c>
      <c r="L56" s="32">
        <f>ABS((J56-D56)/D56)</f>
        <v>0</v>
      </c>
      <c r="M56" s="33">
        <f>ABS((K56-F56)/F56)</f>
        <v>1.0147999999999987E-2</v>
      </c>
    </row>
    <row r="57" spans="2:13" ht="14.25" customHeight="1" x14ac:dyDescent="0.35">
      <c r="B57" s="117"/>
      <c r="C57" s="94" t="s">
        <v>76</v>
      </c>
      <c r="D57" s="95">
        <f>SUM(D54:D56)</f>
        <v>185</v>
      </c>
      <c r="E57" s="96" t="s">
        <v>77</v>
      </c>
      <c r="F57" s="96">
        <f>SUM(F54:F56)</f>
        <v>555</v>
      </c>
      <c r="G57" s="96" t="s">
        <v>77</v>
      </c>
      <c r="H57" s="96" t="s">
        <v>77</v>
      </c>
      <c r="I57" s="96" t="s">
        <v>77</v>
      </c>
      <c r="J57" s="95">
        <f>SUM(J54:J56)</f>
        <v>185</v>
      </c>
      <c r="K57" s="96">
        <f>SUM(K54:K56)</f>
        <v>550.91640000000007</v>
      </c>
      <c r="L57" s="51"/>
      <c r="M57" s="52"/>
    </row>
    <row r="58" spans="2:13" ht="14.25" customHeight="1" x14ac:dyDescent="0.35">
      <c r="B58" s="117" t="s">
        <v>44</v>
      </c>
      <c r="C58" s="93">
        <v>1</v>
      </c>
      <c r="D58" s="31">
        <v>80</v>
      </c>
      <c r="E58" s="32">
        <v>3</v>
      </c>
      <c r="F58" s="32">
        <f>D58*E58</f>
        <v>240</v>
      </c>
      <c r="G58" s="32">
        <v>18</v>
      </c>
      <c r="H58" s="32">
        <v>120</v>
      </c>
      <c r="I58" s="32">
        <v>40</v>
      </c>
      <c r="J58" s="31">
        <v>80</v>
      </c>
      <c r="K58" s="32">
        <v>285.35829999999999</v>
      </c>
      <c r="L58" s="32"/>
      <c r="M58" s="33"/>
    </row>
    <row r="59" spans="2:13" ht="14.25" customHeight="1" x14ac:dyDescent="0.35">
      <c r="B59" s="117"/>
      <c r="C59" s="94" t="s">
        <v>76</v>
      </c>
      <c r="D59" s="95">
        <f>D58</f>
        <v>80</v>
      </c>
      <c r="E59" s="96" t="s">
        <v>77</v>
      </c>
      <c r="F59" s="96">
        <f>F58</f>
        <v>240</v>
      </c>
      <c r="G59" s="96" t="s">
        <v>77</v>
      </c>
      <c r="H59" s="96" t="s">
        <v>77</v>
      </c>
      <c r="I59" s="96" t="s">
        <v>77</v>
      </c>
      <c r="J59" s="95">
        <f>J58</f>
        <v>80</v>
      </c>
      <c r="K59" s="96">
        <f>K58</f>
        <v>285.35829999999999</v>
      </c>
      <c r="L59" s="51"/>
      <c r="M59" s="52"/>
    </row>
    <row r="60" spans="2:13" ht="14.25" customHeight="1" x14ac:dyDescent="0.35">
      <c r="B60" s="117" t="s">
        <v>79</v>
      </c>
      <c r="C60" s="1">
        <v>1</v>
      </c>
      <c r="D60" s="32">
        <v>30</v>
      </c>
      <c r="E60" s="32">
        <v>3</v>
      </c>
      <c r="F60" s="97">
        <v>94.682844000000003</v>
      </c>
      <c r="G60" s="32">
        <v>18</v>
      </c>
      <c r="H60" s="32" t="s">
        <v>77</v>
      </c>
      <c r="I60" s="32" t="s">
        <v>77</v>
      </c>
      <c r="J60" s="31">
        <v>30</v>
      </c>
      <c r="K60" s="32">
        <v>87.324799999999996</v>
      </c>
      <c r="L60" s="32"/>
      <c r="M60" s="33"/>
    </row>
    <row r="61" spans="2:13" ht="14.25" customHeight="1" x14ac:dyDescent="0.35">
      <c r="B61" s="117"/>
      <c r="C61" s="94" t="s">
        <v>76</v>
      </c>
      <c r="D61" s="96">
        <f>D60</f>
        <v>30</v>
      </c>
      <c r="E61" s="96" t="s">
        <v>77</v>
      </c>
      <c r="F61" s="98">
        <f>F60</f>
        <v>94.682844000000003</v>
      </c>
      <c r="G61" s="96" t="s">
        <v>77</v>
      </c>
      <c r="H61" s="96" t="s">
        <v>77</v>
      </c>
      <c r="I61" s="96" t="s">
        <v>77</v>
      </c>
      <c r="J61" s="95">
        <f>J60</f>
        <v>30</v>
      </c>
      <c r="K61" s="96">
        <f>K60</f>
        <v>87.324799999999996</v>
      </c>
      <c r="L61" s="51"/>
      <c r="M61" s="52"/>
    </row>
    <row r="64" spans="2:13" ht="15" customHeight="1" x14ac:dyDescent="0.35">
      <c r="B64" s="117" t="s">
        <v>20</v>
      </c>
      <c r="C64" s="62">
        <v>1</v>
      </c>
      <c r="D64" s="87">
        <v>40</v>
      </c>
      <c r="E64" s="88">
        <v>3</v>
      </c>
      <c r="F64" s="88">
        <f t="shared" ref="F64:F74" si="13">D64*E64</f>
        <v>120</v>
      </c>
      <c r="G64" s="88">
        <v>18</v>
      </c>
      <c r="H64" s="88">
        <v>120</v>
      </c>
      <c r="I64" s="88">
        <v>40</v>
      </c>
      <c r="J64" s="93">
        <v>40</v>
      </c>
      <c r="K64" s="88">
        <v>130.36670000000001</v>
      </c>
      <c r="L64" s="88">
        <f t="shared" ref="L64:L74" si="14">ABS((J64-D64)/D64)</f>
        <v>0</v>
      </c>
      <c r="M64" s="68">
        <f t="shared" ref="M64:M74" si="15">ABS((K64-F64)/F64)</f>
        <v>8.6389166666666739E-2</v>
      </c>
    </row>
    <row r="65" spans="2:13" ht="15" customHeight="1" x14ac:dyDescent="0.35">
      <c r="B65" s="117"/>
      <c r="C65" s="1">
        <v>2</v>
      </c>
      <c r="D65" s="31">
        <v>40</v>
      </c>
      <c r="E65" s="32">
        <v>3</v>
      </c>
      <c r="F65" s="32">
        <f t="shared" si="13"/>
        <v>120</v>
      </c>
      <c r="G65" s="32">
        <v>18</v>
      </c>
      <c r="H65" s="32">
        <v>120</v>
      </c>
      <c r="I65" s="32">
        <v>40</v>
      </c>
      <c r="J65" s="1">
        <v>40</v>
      </c>
      <c r="K65" s="32">
        <v>130.34180000000001</v>
      </c>
      <c r="L65" s="32">
        <f t="shared" si="14"/>
        <v>0</v>
      </c>
      <c r="M65" s="33">
        <f t="shared" si="15"/>
        <v>8.6181666666666726E-2</v>
      </c>
    </row>
    <row r="66" spans="2:13" ht="15" customHeight="1" x14ac:dyDescent="0.35">
      <c r="B66" s="117"/>
      <c r="C66" s="1">
        <v>3</v>
      </c>
      <c r="D66" s="31">
        <v>40</v>
      </c>
      <c r="E66" s="32">
        <v>3</v>
      </c>
      <c r="F66" s="32">
        <f t="shared" si="13"/>
        <v>120</v>
      </c>
      <c r="G66" s="32">
        <v>18</v>
      </c>
      <c r="H66" s="32">
        <v>120</v>
      </c>
      <c r="I66" s="32">
        <v>40</v>
      </c>
      <c r="J66" s="1">
        <v>40</v>
      </c>
      <c r="K66" s="32">
        <v>130.648</v>
      </c>
      <c r="L66" s="32">
        <f t="shared" si="14"/>
        <v>0</v>
      </c>
      <c r="M66" s="33">
        <f t="shared" si="15"/>
        <v>8.8733333333333303E-2</v>
      </c>
    </row>
    <row r="67" spans="2:13" ht="15" customHeight="1" x14ac:dyDescent="0.35">
      <c r="B67" s="117"/>
      <c r="C67" s="1">
        <v>4</v>
      </c>
      <c r="D67" s="31">
        <v>40</v>
      </c>
      <c r="E67" s="32">
        <v>3</v>
      </c>
      <c r="F67" s="32">
        <f t="shared" si="13"/>
        <v>120</v>
      </c>
      <c r="G67" s="32">
        <v>18</v>
      </c>
      <c r="H67" s="32">
        <v>120</v>
      </c>
      <c r="I67" s="32">
        <v>40</v>
      </c>
      <c r="J67" s="1">
        <v>40</v>
      </c>
      <c r="K67" s="32">
        <v>131.5078</v>
      </c>
      <c r="L67" s="32">
        <f t="shared" si="14"/>
        <v>0</v>
      </c>
      <c r="M67" s="33">
        <f t="shared" si="15"/>
        <v>9.5898333333333363E-2</v>
      </c>
    </row>
    <row r="68" spans="2:13" ht="15" customHeight="1" x14ac:dyDescent="0.35">
      <c r="B68" s="117"/>
      <c r="C68" s="1">
        <v>5</v>
      </c>
      <c r="D68" s="31">
        <v>40</v>
      </c>
      <c r="E68" s="32">
        <v>3</v>
      </c>
      <c r="F68" s="32">
        <f t="shared" si="13"/>
        <v>120</v>
      </c>
      <c r="G68" s="32">
        <v>18</v>
      </c>
      <c r="H68" s="32">
        <v>120</v>
      </c>
      <c r="I68" s="32">
        <v>40</v>
      </c>
      <c r="J68" s="1">
        <v>40</v>
      </c>
      <c r="K68" s="32">
        <v>128.01689999999999</v>
      </c>
      <c r="L68" s="32">
        <f t="shared" si="14"/>
        <v>0</v>
      </c>
      <c r="M68" s="33">
        <f t="shared" si="15"/>
        <v>6.6807499999999936E-2</v>
      </c>
    </row>
    <row r="69" spans="2:13" ht="15" customHeight="1" x14ac:dyDescent="0.35">
      <c r="B69" s="117"/>
      <c r="C69" s="1">
        <v>6</v>
      </c>
      <c r="D69" s="31">
        <v>40</v>
      </c>
      <c r="E69" s="32">
        <v>3</v>
      </c>
      <c r="F69" s="32">
        <f t="shared" si="13"/>
        <v>120</v>
      </c>
      <c r="G69" s="32">
        <v>18</v>
      </c>
      <c r="H69" s="32">
        <v>120</v>
      </c>
      <c r="I69" s="32">
        <v>40</v>
      </c>
      <c r="J69" s="1">
        <v>40</v>
      </c>
      <c r="K69" s="32">
        <v>130.91309999999999</v>
      </c>
      <c r="L69" s="32">
        <f t="shared" si="14"/>
        <v>0</v>
      </c>
      <c r="M69" s="33">
        <f t="shared" si="15"/>
        <v>9.0942499999999885E-2</v>
      </c>
    </row>
    <row r="70" spans="2:13" ht="15" customHeight="1" x14ac:dyDescent="0.35">
      <c r="B70" s="117"/>
      <c r="C70" s="1">
        <v>7</v>
      </c>
      <c r="D70" s="31">
        <v>40</v>
      </c>
      <c r="E70" s="32">
        <v>3</v>
      </c>
      <c r="F70" s="32">
        <f t="shared" si="13"/>
        <v>120</v>
      </c>
      <c r="G70" s="32">
        <v>18</v>
      </c>
      <c r="H70" s="32">
        <v>120</v>
      </c>
      <c r="I70" s="32">
        <v>40</v>
      </c>
      <c r="J70" s="1">
        <v>40</v>
      </c>
      <c r="K70" s="32">
        <v>130.87639999999999</v>
      </c>
      <c r="L70" s="32">
        <f t="shared" si="14"/>
        <v>0</v>
      </c>
      <c r="M70" s="33">
        <f t="shared" si="15"/>
        <v>9.0636666666666574E-2</v>
      </c>
    </row>
    <row r="71" spans="2:13" ht="15" customHeight="1" x14ac:dyDescent="0.35">
      <c r="B71" s="117"/>
      <c r="C71" s="1">
        <v>8</v>
      </c>
      <c r="D71" s="31">
        <v>40</v>
      </c>
      <c r="E71" s="32">
        <v>3</v>
      </c>
      <c r="F71" s="32">
        <f t="shared" si="13"/>
        <v>120</v>
      </c>
      <c r="G71" s="32">
        <v>18</v>
      </c>
      <c r="H71" s="32">
        <v>120</v>
      </c>
      <c r="I71" s="32">
        <v>40</v>
      </c>
      <c r="J71" s="1">
        <v>40</v>
      </c>
      <c r="K71" s="32">
        <v>130.80969999999999</v>
      </c>
      <c r="L71" s="32">
        <f t="shared" si="14"/>
        <v>0</v>
      </c>
      <c r="M71" s="33">
        <f t="shared" si="15"/>
        <v>9.0080833333333263E-2</v>
      </c>
    </row>
    <row r="72" spans="2:13" ht="15" customHeight="1" x14ac:dyDescent="0.35">
      <c r="B72" s="117"/>
      <c r="C72" s="1">
        <v>9</v>
      </c>
      <c r="D72" s="31">
        <v>40</v>
      </c>
      <c r="E72" s="32">
        <v>3</v>
      </c>
      <c r="F72" s="32">
        <f t="shared" si="13"/>
        <v>120</v>
      </c>
      <c r="G72" s="32">
        <v>18</v>
      </c>
      <c r="H72" s="32">
        <v>120</v>
      </c>
      <c r="I72" s="32">
        <v>40</v>
      </c>
      <c r="J72" s="1">
        <v>40</v>
      </c>
      <c r="K72" s="32">
        <v>131.7166</v>
      </c>
      <c r="L72" s="32">
        <f t="shared" si="14"/>
        <v>0</v>
      </c>
      <c r="M72" s="33">
        <f t="shared" si="15"/>
        <v>9.7638333333333327E-2</v>
      </c>
    </row>
    <row r="73" spans="2:13" ht="15" customHeight="1" x14ac:dyDescent="0.35">
      <c r="B73" s="117"/>
      <c r="C73" s="1">
        <v>10</v>
      </c>
      <c r="D73" s="31">
        <v>40</v>
      </c>
      <c r="E73" s="32">
        <v>3</v>
      </c>
      <c r="F73" s="32">
        <f t="shared" si="13"/>
        <v>120</v>
      </c>
      <c r="G73" s="32">
        <v>18</v>
      </c>
      <c r="H73" s="32">
        <v>120</v>
      </c>
      <c r="I73" s="32">
        <v>40</v>
      </c>
      <c r="J73" s="1">
        <v>40</v>
      </c>
      <c r="K73" s="32">
        <v>131.24520000000001</v>
      </c>
      <c r="L73" s="32">
        <f t="shared" si="14"/>
        <v>0</v>
      </c>
      <c r="M73" s="33">
        <f t="shared" si="15"/>
        <v>9.3710000000000099E-2</v>
      </c>
    </row>
    <row r="74" spans="2:13" ht="15" customHeight="1" x14ac:dyDescent="0.35">
      <c r="B74" s="117"/>
      <c r="C74" s="1">
        <v>11</v>
      </c>
      <c r="D74" s="31">
        <v>40</v>
      </c>
      <c r="E74" s="32">
        <v>3</v>
      </c>
      <c r="F74" s="32">
        <f t="shared" si="13"/>
        <v>120</v>
      </c>
      <c r="G74" s="32">
        <v>18</v>
      </c>
      <c r="H74" s="32">
        <v>120</v>
      </c>
      <c r="I74" s="32">
        <v>40</v>
      </c>
      <c r="J74" s="1">
        <v>40</v>
      </c>
      <c r="K74" s="32">
        <v>131.1722</v>
      </c>
      <c r="L74" s="32">
        <f t="shared" si="14"/>
        <v>0</v>
      </c>
      <c r="M74" s="33">
        <f t="shared" si="15"/>
        <v>9.3101666666666694E-2</v>
      </c>
    </row>
    <row r="75" spans="2:13" ht="15" customHeight="1" x14ac:dyDescent="0.35">
      <c r="B75" s="117"/>
      <c r="C75" s="94" t="s">
        <v>76</v>
      </c>
      <c r="D75" s="95">
        <f>SUM(D64:D74)</f>
        <v>440</v>
      </c>
      <c r="E75" s="96" t="s">
        <v>77</v>
      </c>
      <c r="F75" s="96">
        <f>SUM(F64:F74)</f>
        <v>1320</v>
      </c>
      <c r="G75" s="96" t="s">
        <v>77</v>
      </c>
      <c r="H75" s="96" t="s">
        <v>77</v>
      </c>
      <c r="I75" s="96" t="s">
        <v>77</v>
      </c>
      <c r="J75" s="95">
        <f>SUM(J64:J74)</f>
        <v>440</v>
      </c>
      <c r="K75" s="96">
        <f>SUM(K64:K74)</f>
        <v>1437.6143999999999</v>
      </c>
      <c r="L75" s="51"/>
      <c r="M75" s="52"/>
    </row>
    <row r="76" spans="2:13" ht="15" customHeight="1" x14ac:dyDescent="0.35">
      <c r="B76" s="117" t="s">
        <v>24</v>
      </c>
      <c r="C76" s="93">
        <v>1</v>
      </c>
      <c r="D76" s="31">
        <v>40</v>
      </c>
      <c r="E76" s="32">
        <v>3</v>
      </c>
      <c r="F76" s="32">
        <f t="shared" ref="F76:F82" si="16">D76*E76</f>
        <v>120</v>
      </c>
      <c r="G76" s="32">
        <v>18</v>
      </c>
      <c r="H76" s="32">
        <v>120</v>
      </c>
      <c r="I76" s="32">
        <v>40</v>
      </c>
      <c r="J76" s="1">
        <v>40</v>
      </c>
      <c r="K76" s="32">
        <v>129.47489999999999</v>
      </c>
      <c r="L76" s="32">
        <f t="shared" ref="L76:L82" si="17">ABS((J76-D76)/D76)</f>
        <v>0</v>
      </c>
      <c r="M76" s="33">
        <f t="shared" ref="M76:M82" si="18">ABS((K76-F76)/F76)</f>
        <v>7.8957499999999931E-2</v>
      </c>
    </row>
    <row r="77" spans="2:13" ht="15" customHeight="1" x14ac:dyDescent="0.35">
      <c r="B77" s="117"/>
      <c r="C77" s="1">
        <v>2</v>
      </c>
      <c r="D77" s="31">
        <v>80</v>
      </c>
      <c r="E77" s="32">
        <v>3</v>
      </c>
      <c r="F77" s="32">
        <f t="shared" si="16"/>
        <v>240</v>
      </c>
      <c r="G77" s="32">
        <v>18</v>
      </c>
      <c r="H77" s="32">
        <v>120</v>
      </c>
      <c r="I77" s="32">
        <v>40</v>
      </c>
      <c r="J77" s="1">
        <v>80</v>
      </c>
      <c r="K77" s="32">
        <v>260.7989</v>
      </c>
      <c r="L77" s="32">
        <f t="shared" si="17"/>
        <v>0</v>
      </c>
      <c r="M77" s="33">
        <f t="shared" si="18"/>
        <v>8.6662083333333348E-2</v>
      </c>
    </row>
    <row r="78" spans="2:13" ht="15" customHeight="1" x14ac:dyDescent="0.35">
      <c r="B78" s="117"/>
      <c r="C78" s="1">
        <v>3</v>
      </c>
      <c r="D78" s="31">
        <v>16</v>
      </c>
      <c r="E78" s="32">
        <v>3</v>
      </c>
      <c r="F78" s="32">
        <f t="shared" si="16"/>
        <v>48</v>
      </c>
      <c r="G78" s="32">
        <v>18</v>
      </c>
      <c r="H78" s="32">
        <v>120</v>
      </c>
      <c r="I78" s="32">
        <v>40</v>
      </c>
      <c r="J78" s="1">
        <v>12</v>
      </c>
      <c r="K78" s="32">
        <v>38.549599999999998</v>
      </c>
      <c r="L78" s="32">
        <f t="shared" si="17"/>
        <v>0.25</v>
      </c>
      <c r="M78" s="33">
        <f t="shared" si="18"/>
        <v>0.19688333333333338</v>
      </c>
    </row>
    <row r="79" spans="2:13" ht="15" customHeight="1" x14ac:dyDescent="0.35">
      <c r="B79" s="117"/>
      <c r="C79" s="1">
        <v>4</v>
      </c>
      <c r="D79" s="31">
        <v>80</v>
      </c>
      <c r="E79" s="32">
        <v>3</v>
      </c>
      <c r="F79" s="32">
        <f t="shared" si="16"/>
        <v>240</v>
      </c>
      <c r="G79" s="32">
        <v>18</v>
      </c>
      <c r="H79" s="32">
        <v>120</v>
      </c>
      <c r="I79" s="32">
        <v>40</v>
      </c>
      <c r="J79" s="1">
        <v>80</v>
      </c>
      <c r="K79" s="32">
        <v>263.7534</v>
      </c>
      <c r="L79" s="32">
        <f t="shared" si="17"/>
        <v>0</v>
      </c>
      <c r="M79" s="33">
        <f t="shared" si="18"/>
        <v>9.8972499999999991E-2</v>
      </c>
    </row>
    <row r="80" spans="2:13" ht="15" customHeight="1" x14ac:dyDescent="0.35">
      <c r="B80" s="117"/>
      <c r="C80" s="1">
        <v>5</v>
      </c>
      <c r="D80" s="31">
        <v>40</v>
      </c>
      <c r="E80" s="32">
        <v>3</v>
      </c>
      <c r="F80" s="32">
        <f t="shared" si="16"/>
        <v>120</v>
      </c>
      <c r="G80" s="32">
        <v>18</v>
      </c>
      <c r="H80" s="32">
        <v>120</v>
      </c>
      <c r="I80" s="32">
        <v>40</v>
      </c>
      <c r="J80" s="1">
        <v>40</v>
      </c>
      <c r="K80" s="32">
        <v>129.3647</v>
      </c>
      <c r="L80" s="32">
        <f t="shared" si="17"/>
        <v>0</v>
      </c>
      <c r="M80" s="33">
        <f t="shared" si="18"/>
        <v>7.8039166666666659E-2</v>
      </c>
    </row>
    <row r="81" spans="2:13" ht="15" customHeight="1" x14ac:dyDescent="0.35">
      <c r="B81" s="117"/>
      <c r="C81" s="1">
        <v>6</v>
      </c>
      <c r="D81" s="31">
        <v>37</v>
      </c>
      <c r="E81" s="32">
        <v>3</v>
      </c>
      <c r="F81" s="32">
        <f t="shared" si="16"/>
        <v>111</v>
      </c>
      <c r="G81" s="32">
        <v>18</v>
      </c>
      <c r="H81" s="32">
        <v>120</v>
      </c>
      <c r="I81" s="32">
        <v>40</v>
      </c>
      <c r="J81" s="1">
        <v>21</v>
      </c>
      <c r="K81" s="32">
        <v>67.043999999999997</v>
      </c>
      <c r="L81" s="32">
        <f t="shared" si="17"/>
        <v>0.43243243243243246</v>
      </c>
      <c r="M81" s="33">
        <f t="shared" si="18"/>
        <v>0.39600000000000002</v>
      </c>
    </row>
    <row r="82" spans="2:13" ht="15" customHeight="1" x14ac:dyDescent="0.35">
      <c r="B82" s="117"/>
      <c r="C82" s="1">
        <v>7</v>
      </c>
      <c r="D82" s="31">
        <v>140</v>
      </c>
      <c r="E82" s="32">
        <v>3</v>
      </c>
      <c r="F82" s="32">
        <f t="shared" si="16"/>
        <v>420</v>
      </c>
      <c r="G82" s="32">
        <v>18</v>
      </c>
      <c r="H82" s="32">
        <v>120</v>
      </c>
      <c r="I82" s="32">
        <v>40</v>
      </c>
      <c r="J82" s="1">
        <v>130</v>
      </c>
      <c r="K82" s="32">
        <v>422.6617</v>
      </c>
      <c r="L82" s="32">
        <f t="shared" si="17"/>
        <v>7.1428571428571425E-2</v>
      </c>
      <c r="M82" s="33">
        <f t="shared" si="18"/>
        <v>6.3373809523809433E-3</v>
      </c>
    </row>
    <row r="83" spans="2:13" ht="15" customHeight="1" x14ac:dyDescent="0.35">
      <c r="B83" s="117"/>
      <c r="C83" s="94" t="s">
        <v>76</v>
      </c>
      <c r="D83" s="95">
        <f>SUM(D76:D82)</f>
        <v>433</v>
      </c>
      <c r="E83" s="96" t="s">
        <v>77</v>
      </c>
      <c r="F83" s="96">
        <f>SUM(F76:F82)</f>
        <v>1299</v>
      </c>
      <c r="G83" s="96" t="s">
        <v>77</v>
      </c>
      <c r="H83" s="96" t="s">
        <v>77</v>
      </c>
      <c r="I83" s="96" t="s">
        <v>77</v>
      </c>
      <c r="J83" s="95">
        <f>SUM(J76:J82)</f>
        <v>403</v>
      </c>
      <c r="K83" s="96">
        <f>SUM(K76:K82)</f>
        <v>1311.6471999999999</v>
      </c>
      <c r="L83" s="51"/>
      <c r="M83" s="52"/>
    </row>
    <row r="84" spans="2:13" ht="15" customHeight="1" x14ac:dyDescent="0.35">
      <c r="B84" s="117" t="s">
        <v>28</v>
      </c>
      <c r="C84" s="93">
        <v>1</v>
      </c>
      <c r="D84" s="31">
        <v>100</v>
      </c>
      <c r="E84" s="32">
        <v>3</v>
      </c>
      <c r="F84" s="32">
        <f>D84*E84</f>
        <v>300</v>
      </c>
      <c r="G84" s="32">
        <v>18</v>
      </c>
      <c r="H84" s="32">
        <v>120</v>
      </c>
      <c r="I84" s="32">
        <v>40</v>
      </c>
      <c r="J84" s="1">
        <v>100</v>
      </c>
      <c r="K84" s="32">
        <v>304.56119999999999</v>
      </c>
      <c r="L84" s="32">
        <f>ABS((J84-D84)/D84)</f>
        <v>0</v>
      </c>
      <c r="M84" s="33">
        <f>ABS((K84-F84)/F84)</f>
        <v>1.520399999999995E-2</v>
      </c>
    </row>
    <row r="85" spans="2:13" ht="15" customHeight="1" x14ac:dyDescent="0.35">
      <c r="B85" s="117"/>
      <c r="C85" s="1">
        <v>2</v>
      </c>
      <c r="D85" s="31">
        <v>100</v>
      </c>
      <c r="E85" s="32">
        <v>3</v>
      </c>
      <c r="F85" s="32">
        <f>D85*E85</f>
        <v>300</v>
      </c>
      <c r="G85" s="32">
        <v>18</v>
      </c>
      <c r="H85" s="32">
        <v>120</v>
      </c>
      <c r="I85" s="32">
        <v>40</v>
      </c>
      <c r="J85" s="1">
        <v>100</v>
      </c>
      <c r="K85" s="32">
        <v>305.04520000000002</v>
      </c>
      <c r="L85" s="32">
        <f>ABS((J85-D85)/D85)</f>
        <v>0</v>
      </c>
      <c r="M85" s="33">
        <f>ABS((K85-F85)/F85)</f>
        <v>1.681733333333341E-2</v>
      </c>
    </row>
    <row r="86" spans="2:13" ht="15" customHeight="1" x14ac:dyDescent="0.35">
      <c r="B86" s="117"/>
      <c r="C86" s="1">
        <v>3</v>
      </c>
      <c r="D86" s="31">
        <v>100</v>
      </c>
      <c r="E86" s="32">
        <v>3</v>
      </c>
      <c r="F86" s="32">
        <f>D86*E86</f>
        <v>300</v>
      </c>
      <c r="G86" s="32">
        <v>18</v>
      </c>
      <c r="H86" s="32">
        <v>120</v>
      </c>
      <c r="I86" s="32">
        <v>40</v>
      </c>
      <c r="J86" s="1">
        <v>99</v>
      </c>
      <c r="K86" s="32">
        <v>302.23989999999998</v>
      </c>
      <c r="L86" s="32">
        <f>ABS((J86-D86)/D86)</f>
        <v>0.01</v>
      </c>
      <c r="M86" s="33">
        <f>ABS((K86-F86)/F86)</f>
        <v>7.466333333333258E-3</v>
      </c>
    </row>
    <row r="87" spans="2:13" ht="15" customHeight="1" x14ac:dyDescent="0.35">
      <c r="B87" s="117"/>
      <c r="C87" s="1">
        <v>4</v>
      </c>
      <c r="D87" s="31">
        <v>80</v>
      </c>
      <c r="E87" s="32">
        <v>3</v>
      </c>
      <c r="F87" s="32">
        <f>D87*E87</f>
        <v>240</v>
      </c>
      <c r="G87" s="32">
        <v>18</v>
      </c>
      <c r="H87" s="32">
        <v>120</v>
      </c>
      <c r="I87" s="32">
        <v>40</v>
      </c>
      <c r="J87" s="1">
        <v>79</v>
      </c>
      <c r="K87" s="32">
        <v>241.03870000000001</v>
      </c>
      <c r="L87" s="32">
        <f>ABS((J87-D87)/D87)</f>
        <v>1.2500000000000001E-2</v>
      </c>
      <c r="M87" s="33">
        <f>ABS((K87-F87)/F87)</f>
        <v>4.3279166666666908E-3</v>
      </c>
    </row>
    <row r="88" spans="2:13" ht="15" customHeight="1" x14ac:dyDescent="0.35">
      <c r="B88" s="117"/>
      <c r="C88" s="1">
        <v>5</v>
      </c>
      <c r="D88" s="31">
        <v>70</v>
      </c>
      <c r="E88" s="32">
        <v>3</v>
      </c>
      <c r="F88" s="32">
        <f>D88*E88</f>
        <v>210</v>
      </c>
      <c r="G88" s="32">
        <v>18</v>
      </c>
      <c r="H88" s="32">
        <v>120</v>
      </c>
      <c r="I88" s="32">
        <v>40</v>
      </c>
      <c r="J88" s="1">
        <v>68</v>
      </c>
      <c r="K88" s="32">
        <v>205.4145</v>
      </c>
      <c r="L88" s="32">
        <f>ABS((J88-D88)/D88)</f>
        <v>2.8571428571428571E-2</v>
      </c>
      <c r="M88" s="33">
        <f>ABS((K88-F88)/F88)</f>
        <v>2.1835714285714267E-2</v>
      </c>
    </row>
    <row r="89" spans="2:13" ht="15" customHeight="1" x14ac:dyDescent="0.35">
      <c r="B89" s="117"/>
      <c r="C89" s="94" t="s">
        <v>76</v>
      </c>
      <c r="D89" s="95">
        <f>SUM(D84:D88)</f>
        <v>450</v>
      </c>
      <c r="E89" s="96" t="s">
        <v>77</v>
      </c>
      <c r="F89" s="96">
        <f>SUM(F84:F88)</f>
        <v>1350</v>
      </c>
      <c r="G89" s="96" t="s">
        <v>77</v>
      </c>
      <c r="H89" s="96" t="s">
        <v>77</v>
      </c>
      <c r="I89" s="96" t="s">
        <v>77</v>
      </c>
      <c r="J89" s="95">
        <f>SUM(J84:J88)</f>
        <v>446</v>
      </c>
      <c r="K89" s="96">
        <f>SUM(K84:K88)</f>
        <v>1358.2995000000001</v>
      </c>
      <c r="L89" s="51"/>
      <c r="M89" s="52"/>
    </row>
    <row r="90" spans="2:13" ht="15" customHeight="1" x14ac:dyDescent="0.35">
      <c r="B90" s="117" t="s">
        <v>31</v>
      </c>
      <c r="C90" s="93">
        <v>1</v>
      </c>
      <c r="D90" s="31">
        <v>130</v>
      </c>
      <c r="E90" s="32">
        <v>3</v>
      </c>
      <c r="F90" s="32">
        <f>D90*E90</f>
        <v>390</v>
      </c>
      <c r="G90" s="32">
        <v>18</v>
      </c>
      <c r="H90" s="32">
        <v>120</v>
      </c>
      <c r="I90" s="32">
        <v>40</v>
      </c>
      <c r="J90" s="1">
        <v>129</v>
      </c>
      <c r="K90" s="32">
        <v>416.14510000000001</v>
      </c>
      <c r="L90" s="32">
        <f>ABS((J90-D90)/D90)</f>
        <v>7.6923076923076927E-3</v>
      </c>
      <c r="M90" s="33">
        <f>ABS((K90-F90)/F90)</f>
        <v>6.7038717948717977E-2</v>
      </c>
    </row>
    <row r="91" spans="2:13" ht="15" customHeight="1" x14ac:dyDescent="0.35">
      <c r="B91" s="117"/>
      <c r="C91" s="1">
        <v>2</v>
      </c>
      <c r="D91" s="31">
        <v>100</v>
      </c>
      <c r="E91" s="32">
        <v>3</v>
      </c>
      <c r="F91" s="32">
        <f>D91*E91</f>
        <v>300</v>
      </c>
      <c r="G91" s="32">
        <v>18</v>
      </c>
      <c r="H91" s="32">
        <v>120</v>
      </c>
      <c r="I91" s="32">
        <v>40</v>
      </c>
      <c r="J91" s="1">
        <v>93</v>
      </c>
      <c r="K91" s="32">
        <v>300.3535</v>
      </c>
      <c r="L91" s="32">
        <f>ABS((J91-D91)/D91)</f>
        <v>7.0000000000000007E-2</v>
      </c>
      <c r="M91" s="33">
        <f>ABS((K91-F91)/F91)</f>
        <v>1.1783333333333227E-3</v>
      </c>
    </row>
    <row r="92" spans="2:13" ht="15" customHeight="1" x14ac:dyDescent="0.35">
      <c r="B92" s="117"/>
      <c r="C92" s="1">
        <v>3</v>
      </c>
      <c r="D92" s="31">
        <v>30</v>
      </c>
      <c r="E92" s="32">
        <v>3</v>
      </c>
      <c r="F92" s="32">
        <f>D92*E92</f>
        <v>90</v>
      </c>
      <c r="G92" s="32">
        <v>18</v>
      </c>
      <c r="H92" s="32">
        <v>120</v>
      </c>
      <c r="I92" s="32">
        <v>40</v>
      </c>
      <c r="J92" s="1">
        <v>30</v>
      </c>
      <c r="K92" s="32">
        <v>96.490399999999994</v>
      </c>
      <c r="L92" s="32">
        <f>ABS((J92-D92)/D92)</f>
        <v>0</v>
      </c>
      <c r="M92" s="33">
        <f>ABS((K92-F92)/F92)</f>
        <v>7.2115555555555488E-2</v>
      </c>
    </row>
    <row r="93" spans="2:13" ht="15" customHeight="1" x14ac:dyDescent="0.35">
      <c r="B93" s="117"/>
      <c r="C93" s="1">
        <v>4</v>
      </c>
      <c r="D93" s="31">
        <v>140</v>
      </c>
      <c r="E93" s="32">
        <v>3</v>
      </c>
      <c r="F93" s="32">
        <f>D93*E93</f>
        <v>420</v>
      </c>
      <c r="G93" s="32">
        <v>18</v>
      </c>
      <c r="H93" s="32">
        <v>120</v>
      </c>
      <c r="I93" s="32">
        <v>40</v>
      </c>
      <c r="J93" s="1">
        <v>136</v>
      </c>
      <c r="K93" s="32">
        <v>437.80520000000001</v>
      </c>
      <c r="L93" s="32">
        <f>ABS((J93-D93)/D93)</f>
        <v>2.8571428571428571E-2</v>
      </c>
      <c r="M93" s="33">
        <f>ABS((K93-F93)/F93)</f>
        <v>4.2393333333333366E-2</v>
      </c>
    </row>
    <row r="94" spans="2:13" ht="15" customHeight="1" x14ac:dyDescent="0.35">
      <c r="B94" s="117"/>
      <c r="C94" s="1">
        <v>5</v>
      </c>
      <c r="D94" s="31">
        <v>130</v>
      </c>
      <c r="E94" s="32">
        <v>3</v>
      </c>
      <c r="F94" s="32">
        <f>D94*E94</f>
        <v>390</v>
      </c>
      <c r="G94" s="32">
        <v>18</v>
      </c>
      <c r="H94" s="32">
        <v>120</v>
      </c>
      <c r="I94" s="32">
        <v>40</v>
      </c>
      <c r="J94" s="1">
        <v>102</v>
      </c>
      <c r="K94" s="32">
        <v>331.69470000000001</v>
      </c>
      <c r="L94" s="32">
        <f>ABS((J94-D94)/D94)</f>
        <v>0.2153846153846154</v>
      </c>
      <c r="M94" s="33">
        <f>ABS((K94-F94)/F94)</f>
        <v>0.14950076923076919</v>
      </c>
    </row>
    <row r="95" spans="2:13" ht="15" customHeight="1" x14ac:dyDescent="0.35">
      <c r="B95" s="117"/>
      <c r="C95" s="94" t="s">
        <v>76</v>
      </c>
      <c r="D95" s="95">
        <f>SUM(D90:D94)</f>
        <v>530</v>
      </c>
      <c r="E95" s="96" t="s">
        <v>77</v>
      </c>
      <c r="F95" s="96">
        <f>SUM(F90:F94)</f>
        <v>1590</v>
      </c>
      <c r="G95" s="96" t="s">
        <v>77</v>
      </c>
      <c r="H95" s="96" t="s">
        <v>77</v>
      </c>
      <c r="I95" s="96" t="s">
        <v>77</v>
      </c>
      <c r="J95" s="95">
        <f>SUM(J90:J94)</f>
        <v>490</v>
      </c>
      <c r="K95" s="96">
        <f>SUM(K90:K94)</f>
        <v>1582.4889000000001</v>
      </c>
      <c r="L95" s="51"/>
      <c r="M95" s="52"/>
    </row>
    <row r="96" spans="2:13" ht="15" customHeight="1" x14ac:dyDescent="0.35">
      <c r="B96" s="117" t="s">
        <v>33</v>
      </c>
      <c r="C96" s="93">
        <v>1</v>
      </c>
      <c r="D96" s="31">
        <v>80</v>
      </c>
      <c r="E96" s="32">
        <v>3</v>
      </c>
      <c r="F96" s="32">
        <f t="shared" ref="F96:F103" si="19">D96*E96</f>
        <v>240</v>
      </c>
      <c r="G96" s="32">
        <v>18</v>
      </c>
      <c r="H96" s="32">
        <v>120</v>
      </c>
      <c r="I96" s="32">
        <v>40</v>
      </c>
      <c r="J96" s="1">
        <v>80</v>
      </c>
      <c r="K96" s="32">
        <v>248.98079999999999</v>
      </c>
      <c r="L96" s="32">
        <f t="shared" ref="L96:L103" si="20">ABS((J96-D96)/D96)</f>
        <v>0</v>
      </c>
      <c r="M96" s="33">
        <f t="shared" ref="M96:M103" si="21">ABS((K96-F96)/F96)</f>
        <v>3.7419999999999946E-2</v>
      </c>
    </row>
    <row r="97" spans="2:13" ht="15" customHeight="1" x14ac:dyDescent="0.35">
      <c r="B97" s="117"/>
      <c r="C97" s="1">
        <v>2</v>
      </c>
      <c r="D97" s="31">
        <v>80</v>
      </c>
      <c r="E97" s="32">
        <v>3</v>
      </c>
      <c r="F97" s="32">
        <f t="shared" si="19"/>
        <v>240</v>
      </c>
      <c r="G97" s="32">
        <v>18</v>
      </c>
      <c r="H97" s="32">
        <v>120</v>
      </c>
      <c r="I97" s="32">
        <v>40</v>
      </c>
      <c r="J97" s="1">
        <v>80</v>
      </c>
      <c r="K97" s="32">
        <v>217.4221</v>
      </c>
      <c r="L97" s="32">
        <f t="shared" si="20"/>
        <v>0</v>
      </c>
      <c r="M97" s="33">
        <f t="shared" si="21"/>
        <v>9.4074583333333336E-2</v>
      </c>
    </row>
    <row r="98" spans="2:13" ht="15" customHeight="1" x14ac:dyDescent="0.35">
      <c r="B98" s="117"/>
      <c r="C98" s="1">
        <v>3</v>
      </c>
      <c r="D98" s="31">
        <v>80</v>
      </c>
      <c r="E98" s="32">
        <v>3</v>
      </c>
      <c r="F98" s="32">
        <f t="shared" si="19"/>
        <v>240</v>
      </c>
      <c r="G98" s="32">
        <v>18</v>
      </c>
      <c r="H98" s="32">
        <v>120</v>
      </c>
      <c r="I98" s="32">
        <v>40</v>
      </c>
      <c r="J98" s="1">
        <v>67</v>
      </c>
      <c r="K98" s="32">
        <v>192.0866</v>
      </c>
      <c r="L98" s="32">
        <f t="shared" si="20"/>
        <v>0.16250000000000001</v>
      </c>
      <c r="M98" s="33">
        <f t="shared" si="21"/>
        <v>0.19963916666666665</v>
      </c>
    </row>
    <row r="99" spans="2:13" ht="15" customHeight="1" x14ac:dyDescent="0.35">
      <c r="B99" s="117"/>
      <c r="C99" s="1">
        <v>4</v>
      </c>
      <c r="D99" s="31">
        <v>80</v>
      </c>
      <c r="E99" s="32">
        <v>3</v>
      </c>
      <c r="F99" s="32">
        <f t="shared" si="19"/>
        <v>240</v>
      </c>
      <c r="G99" s="32">
        <v>18</v>
      </c>
      <c r="H99" s="32">
        <v>120</v>
      </c>
      <c r="I99" s="32">
        <v>40</v>
      </c>
      <c r="J99" s="1">
        <v>72</v>
      </c>
      <c r="K99" s="32">
        <v>204.18219999999999</v>
      </c>
      <c r="L99" s="32">
        <f t="shared" si="20"/>
        <v>0.1</v>
      </c>
      <c r="M99" s="33">
        <f t="shared" si="21"/>
        <v>0.14924083333333335</v>
      </c>
    </row>
    <row r="100" spans="2:13" ht="15" customHeight="1" x14ac:dyDescent="0.35">
      <c r="B100" s="117"/>
      <c r="C100" s="1">
        <v>6</v>
      </c>
      <c r="D100" s="31">
        <v>16</v>
      </c>
      <c r="E100" s="32">
        <v>3</v>
      </c>
      <c r="F100" s="32">
        <f t="shared" si="19"/>
        <v>48</v>
      </c>
      <c r="G100" s="32">
        <v>18</v>
      </c>
      <c r="H100" s="32">
        <v>120</v>
      </c>
      <c r="I100" s="32">
        <v>40</v>
      </c>
      <c r="J100" s="1">
        <v>16</v>
      </c>
      <c r="K100" s="32">
        <v>40.595700000000001</v>
      </c>
      <c r="L100" s="32">
        <f t="shared" si="20"/>
        <v>0</v>
      </c>
      <c r="M100" s="33">
        <f t="shared" si="21"/>
        <v>0.15425624999999998</v>
      </c>
    </row>
    <row r="101" spans="2:13" ht="15" customHeight="1" x14ac:dyDescent="0.35">
      <c r="B101" s="117"/>
      <c r="C101" s="1">
        <v>7</v>
      </c>
      <c r="D101" s="31">
        <v>70</v>
      </c>
      <c r="E101" s="32">
        <v>3</v>
      </c>
      <c r="F101" s="32">
        <f t="shared" si="19"/>
        <v>210</v>
      </c>
      <c r="G101" s="32">
        <v>18</v>
      </c>
      <c r="H101" s="32">
        <v>120</v>
      </c>
      <c r="I101" s="32">
        <v>40</v>
      </c>
      <c r="J101" s="1">
        <v>64</v>
      </c>
      <c r="K101" s="32">
        <v>193.9469</v>
      </c>
      <c r="L101" s="32">
        <f t="shared" si="20"/>
        <v>8.5714285714285715E-2</v>
      </c>
      <c r="M101" s="33">
        <f t="shared" si="21"/>
        <v>7.6443333333333335E-2</v>
      </c>
    </row>
    <row r="102" spans="2:13" ht="15" customHeight="1" x14ac:dyDescent="0.35">
      <c r="B102" s="117"/>
      <c r="C102" s="1">
        <v>8</v>
      </c>
      <c r="D102" s="31">
        <v>80</v>
      </c>
      <c r="E102" s="32">
        <v>3</v>
      </c>
      <c r="F102" s="32">
        <f t="shared" si="19"/>
        <v>240</v>
      </c>
      <c r="G102" s="32">
        <v>18</v>
      </c>
      <c r="H102" s="32">
        <v>120</v>
      </c>
      <c r="I102" s="32">
        <v>40</v>
      </c>
      <c r="J102" s="1">
        <v>81</v>
      </c>
      <c r="K102" s="32">
        <v>244.87020000000001</v>
      </c>
      <c r="L102" s="32">
        <f t="shared" si="20"/>
        <v>1.2500000000000001E-2</v>
      </c>
      <c r="M102" s="33">
        <f t="shared" si="21"/>
        <v>2.0292500000000047E-2</v>
      </c>
    </row>
    <row r="103" spans="2:13" ht="15" customHeight="1" x14ac:dyDescent="0.35">
      <c r="B103" s="117"/>
      <c r="C103" s="1">
        <v>9</v>
      </c>
      <c r="D103" s="31">
        <v>50</v>
      </c>
      <c r="E103" s="32">
        <v>3</v>
      </c>
      <c r="F103" s="32">
        <f t="shared" si="19"/>
        <v>150</v>
      </c>
      <c r="G103" s="32">
        <v>18</v>
      </c>
      <c r="H103" s="32">
        <v>120</v>
      </c>
      <c r="I103" s="32">
        <v>40</v>
      </c>
      <c r="J103" s="1">
        <v>45</v>
      </c>
      <c r="K103" s="32">
        <v>108.8794</v>
      </c>
      <c r="L103" s="32">
        <f t="shared" si="20"/>
        <v>0.1</v>
      </c>
      <c r="M103" s="33">
        <f t="shared" si="21"/>
        <v>0.27413733333333329</v>
      </c>
    </row>
    <row r="104" spans="2:13" ht="15" customHeight="1" x14ac:dyDescent="0.35">
      <c r="B104" s="117"/>
      <c r="C104" s="94" t="s">
        <v>76</v>
      </c>
      <c r="D104" s="95">
        <f>SUM(D96:D103)</f>
        <v>536</v>
      </c>
      <c r="E104" s="96" t="s">
        <v>77</v>
      </c>
      <c r="F104" s="96">
        <f>SUM(F96:F103)</f>
        <v>1608</v>
      </c>
      <c r="G104" s="96" t="s">
        <v>77</v>
      </c>
      <c r="H104" s="96" t="s">
        <v>77</v>
      </c>
      <c r="I104" s="96" t="s">
        <v>77</v>
      </c>
      <c r="J104" s="95">
        <f>SUM(J96:J103)</f>
        <v>505</v>
      </c>
      <c r="K104" s="96">
        <f>SUM(K96:K103)</f>
        <v>1450.9639</v>
      </c>
      <c r="L104" s="51"/>
      <c r="M104" s="52"/>
    </row>
    <row r="105" spans="2:13" ht="15" customHeight="1" x14ac:dyDescent="0.35">
      <c r="B105" s="117" t="s">
        <v>34</v>
      </c>
      <c r="C105" s="93">
        <v>1</v>
      </c>
      <c r="D105" s="31">
        <v>80</v>
      </c>
      <c r="E105" s="32">
        <v>3</v>
      </c>
      <c r="F105" s="32">
        <f>D105*E105</f>
        <v>240</v>
      </c>
      <c r="G105" s="32">
        <v>18</v>
      </c>
      <c r="H105" s="32">
        <v>120</v>
      </c>
      <c r="I105" s="32">
        <v>40</v>
      </c>
      <c r="J105" s="1">
        <v>80</v>
      </c>
      <c r="K105" s="32">
        <v>267.61669999999998</v>
      </c>
      <c r="L105" s="32">
        <f>ABS((J105-D105)/D105)</f>
        <v>0</v>
      </c>
      <c r="M105" s="33">
        <f>ABS((K105-F105)/F105)</f>
        <v>0.11506958333333325</v>
      </c>
    </row>
    <row r="106" spans="2:13" ht="15" customHeight="1" x14ac:dyDescent="0.35">
      <c r="B106" s="117"/>
      <c r="C106" s="1">
        <v>2</v>
      </c>
      <c r="D106" s="31">
        <v>80</v>
      </c>
      <c r="E106" s="32">
        <v>3</v>
      </c>
      <c r="F106" s="32">
        <f>D106*E106</f>
        <v>240</v>
      </c>
      <c r="G106" s="32">
        <v>18</v>
      </c>
      <c r="H106" s="32">
        <v>120</v>
      </c>
      <c r="I106" s="32">
        <v>40</v>
      </c>
      <c r="J106" s="1">
        <v>80</v>
      </c>
      <c r="K106" s="32">
        <v>265.78339999999997</v>
      </c>
      <c r="L106" s="32">
        <f>ABS((J106-D106)/D106)</f>
        <v>0</v>
      </c>
      <c r="M106" s="33">
        <f>ABS((K106-F106)/F106)</f>
        <v>0.10743083333333321</v>
      </c>
    </row>
    <row r="107" spans="2:13" ht="15" customHeight="1" x14ac:dyDescent="0.35">
      <c r="B107" s="117"/>
      <c r="C107" s="1">
        <v>3</v>
      </c>
      <c r="D107" s="31">
        <v>80</v>
      </c>
      <c r="E107" s="32">
        <v>3</v>
      </c>
      <c r="F107" s="32">
        <f>D107*E107</f>
        <v>240</v>
      </c>
      <c r="G107" s="32">
        <v>18</v>
      </c>
      <c r="H107" s="32">
        <v>120</v>
      </c>
      <c r="I107" s="32">
        <v>40</v>
      </c>
      <c r="J107" s="1">
        <v>76</v>
      </c>
      <c r="K107" s="32">
        <v>228.9134</v>
      </c>
      <c r="L107" s="32">
        <f>ABS((J107-D107)/D107)</f>
        <v>0.05</v>
      </c>
      <c r="M107" s="33">
        <f>ABS((K107-F107)/F107)</f>
        <v>4.6194166666666682E-2</v>
      </c>
    </row>
    <row r="108" spans="2:13" ht="15" customHeight="1" x14ac:dyDescent="0.35">
      <c r="B108" s="117"/>
      <c r="C108" s="94" t="s">
        <v>76</v>
      </c>
      <c r="D108" s="95">
        <f>SUM(D105:D107)</f>
        <v>240</v>
      </c>
      <c r="E108" s="96" t="s">
        <v>77</v>
      </c>
      <c r="F108" s="96">
        <f>SUM(F105:F107)</f>
        <v>720</v>
      </c>
      <c r="G108" s="96" t="s">
        <v>77</v>
      </c>
      <c r="H108" s="96" t="s">
        <v>77</v>
      </c>
      <c r="I108" s="96" t="s">
        <v>77</v>
      </c>
      <c r="J108" s="95">
        <f>SUM(J105:J107)</f>
        <v>236</v>
      </c>
      <c r="K108" s="96">
        <f>SUM(K105:K107)</f>
        <v>762.31349999999998</v>
      </c>
      <c r="L108" s="51"/>
      <c r="M108" s="52"/>
    </row>
    <row r="109" spans="2:13" ht="15" customHeight="1" x14ac:dyDescent="0.35">
      <c r="B109" s="117" t="s">
        <v>80</v>
      </c>
      <c r="C109" s="93">
        <v>1</v>
      </c>
      <c r="D109" s="31">
        <v>80</v>
      </c>
      <c r="E109" s="32">
        <v>3</v>
      </c>
      <c r="F109" s="32">
        <f>D109*E109</f>
        <v>240</v>
      </c>
      <c r="G109" s="32">
        <v>18</v>
      </c>
      <c r="H109" s="32">
        <v>120</v>
      </c>
      <c r="I109" s="32">
        <v>40</v>
      </c>
      <c r="J109" s="1">
        <v>81</v>
      </c>
      <c r="K109" s="32">
        <v>249.64779999999999</v>
      </c>
      <c r="L109" s="32">
        <f>ABS((J109-D109)/D109)</f>
        <v>1.2500000000000001E-2</v>
      </c>
      <c r="M109" s="33">
        <f>ABS((K109-F109)/F109)</f>
        <v>4.0199166666666626E-2</v>
      </c>
    </row>
    <row r="110" spans="2:13" ht="15" customHeight="1" x14ac:dyDescent="0.35">
      <c r="B110" s="117"/>
      <c r="C110" s="1">
        <v>2</v>
      </c>
      <c r="D110" s="31">
        <v>80</v>
      </c>
      <c r="E110" s="32">
        <v>3</v>
      </c>
      <c r="F110" s="32">
        <f>D110*E110</f>
        <v>240</v>
      </c>
      <c r="G110" s="32">
        <v>18</v>
      </c>
      <c r="H110" s="32">
        <v>120</v>
      </c>
      <c r="I110" s="32">
        <v>40</v>
      </c>
      <c r="J110" s="1">
        <v>80</v>
      </c>
      <c r="K110" s="32">
        <v>244.93209999999999</v>
      </c>
      <c r="L110" s="32">
        <f>ABS((J110-D110)/D110)</f>
        <v>0</v>
      </c>
      <c r="M110" s="33">
        <f>ABS((K110-F110)/F110)</f>
        <v>2.055041666666663E-2</v>
      </c>
    </row>
    <row r="111" spans="2:13" ht="15" customHeight="1" x14ac:dyDescent="0.35">
      <c r="B111" s="117"/>
      <c r="C111" s="1">
        <v>3</v>
      </c>
      <c r="D111" s="31">
        <v>40</v>
      </c>
      <c r="E111" s="32">
        <v>3</v>
      </c>
      <c r="F111" s="32">
        <f>D111*E111</f>
        <v>120</v>
      </c>
      <c r="G111" s="32">
        <v>18</v>
      </c>
      <c r="H111" s="32">
        <v>120</v>
      </c>
      <c r="I111" s="32">
        <v>40</v>
      </c>
      <c r="J111" s="1">
        <v>39</v>
      </c>
      <c r="K111" s="32">
        <v>120.0784</v>
      </c>
      <c r="L111" s="32">
        <f>ABS((J111-D111)/D111)</f>
        <v>2.5000000000000001E-2</v>
      </c>
      <c r="M111" s="33">
        <f>ABS((K111-F111)/F111)</f>
        <v>6.5333333333335015E-4</v>
      </c>
    </row>
    <row r="112" spans="2:13" ht="15" customHeight="1" x14ac:dyDescent="0.35">
      <c r="B112" s="117"/>
      <c r="C112" s="1">
        <v>4</v>
      </c>
      <c r="D112" s="31">
        <v>40</v>
      </c>
      <c r="E112" s="32">
        <v>3</v>
      </c>
      <c r="F112" s="32">
        <f>D112*E112</f>
        <v>120</v>
      </c>
      <c r="G112" s="32">
        <v>18</v>
      </c>
      <c r="H112" s="32">
        <v>120</v>
      </c>
      <c r="I112" s="32">
        <v>40</v>
      </c>
      <c r="J112" s="1">
        <v>38</v>
      </c>
      <c r="K112" s="32">
        <v>128.04490000000001</v>
      </c>
      <c r="L112" s="32">
        <f>ABS((J112-D112)/D112)</f>
        <v>0.05</v>
      </c>
      <c r="M112" s="33">
        <f>ABS((K112-F112)/F112)</f>
        <v>6.7040833333333438E-2</v>
      </c>
    </row>
    <row r="113" spans="2:13" ht="15" customHeight="1" x14ac:dyDescent="0.35">
      <c r="B113" s="117"/>
      <c r="C113" s="1">
        <v>5</v>
      </c>
      <c r="D113" s="31">
        <v>35</v>
      </c>
      <c r="E113" s="32">
        <v>3</v>
      </c>
      <c r="F113" s="32">
        <f>D113*E113</f>
        <v>105</v>
      </c>
      <c r="G113" s="32">
        <v>18</v>
      </c>
      <c r="H113" s="32">
        <v>120</v>
      </c>
      <c r="I113" s="32">
        <v>40</v>
      </c>
      <c r="J113" s="1">
        <v>33</v>
      </c>
      <c r="K113" s="32">
        <v>112.6533</v>
      </c>
      <c r="L113" s="32">
        <f>ABS((J113-D113)/D113)</f>
        <v>5.7142857142857141E-2</v>
      </c>
      <c r="M113" s="33">
        <f>ABS((K113-F113)/F113)</f>
        <v>7.2888571428571441E-2</v>
      </c>
    </row>
    <row r="114" spans="2:13" ht="15" customHeight="1" x14ac:dyDescent="0.35">
      <c r="B114" s="117"/>
      <c r="C114" s="94" t="s">
        <v>76</v>
      </c>
      <c r="D114" s="95">
        <f>SUM(D109:D113)</f>
        <v>275</v>
      </c>
      <c r="E114" s="96" t="s">
        <v>77</v>
      </c>
      <c r="F114" s="96">
        <f>SUM(F109:F113)</f>
        <v>825</v>
      </c>
      <c r="G114" s="96" t="s">
        <v>77</v>
      </c>
      <c r="H114" s="96" t="s">
        <v>77</v>
      </c>
      <c r="I114" s="96" t="s">
        <v>77</v>
      </c>
      <c r="J114" s="95">
        <f>SUM(J109:J113)</f>
        <v>271</v>
      </c>
      <c r="K114" s="96">
        <f>SUM(K109:K113)</f>
        <v>855.35649999999987</v>
      </c>
      <c r="L114" s="51"/>
      <c r="M114" s="52"/>
    </row>
    <row r="115" spans="2:13" ht="15" customHeight="1" x14ac:dyDescent="0.35">
      <c r="B115" s="117" t="s">
        <v>38</v>
      </c>
      <c r="C115" s="93">
        <v>1</v>
      </c>
      <c r="D115" s="31">
        <v>40</v>
      </c>
      <c r="E115" s="32">
        <v>3</v>
      </c>
      <c r="F115" s="32">
        <f t="shared" ref="F115:F123" si="22">D115*E115</f>
        <v>120</v>
      </c>
      <c r="G115" s="32">
        <v>18</v>
      </c>
      <c r="H115" s="32">
        <v>120</v>
      </c>
      <c r="I115" s="32">
        <v>40</v>
      </c>
      <c r="J115" s="1">
        <v>36</v>
      </c>
      <c r="K115" s="32">
        <v>108.9191</v>
      </c>
      <c r="L115" s="32">
        <f t="shared" ref="L115:L123" si="23">ABS((J115-D115)/D115)</f>
        <v>0.1</v>
      </c>
      <c r="M115" s="33">
        <f t="shared" ref="M115:M123" si="24">ABS((K115-F115)/F115)</f>
        <v>9.234083333333333E-2</v>
      </c>
    </row>
    <row r="116" spans="2:13" ht="15" customHeight="1" x14ac:dyDescent="0.35">
      <c r="B116" s="117"/>
      <c r="C116" s="1">
        <v>2</v>
      </c>
      <c r="D116" s="31">
        <v>40</v>
      </c>
      <c r="E116" s="32">
        <v>3</v>
      </c>
      <c r="F116" s="32">
        <f t="shared" si="22"/>
        <v>120</v>
      </c>
      <c r="G116" s="32">
        <v>18</v>
      </c>
      <c r="H116" s="32">
        <v>120</v>
      </c>
      <c r="I116" s="32">
        <v>40</v>
      </c>
      <c r="J116" s="1">
        <v>40</v>
      </c>
      <c r="K116" s="32">
        <v>104.4049</v>
      </c>
      <c r="L116" s="32">
        <f t="shared" si="23"/>
        <v>0</v>
      </c>
      <c r="M116" s="33">
        <f t="shared" si="24"/>
        <v>0.12995916666666668</v>
      </c>
    </row>
    <row r="117" spans="2:13" ht="15" customHeight="1" x14ac:dyDescent="0.35">
      <c r="B117" s="117"/>
      <c r="C117" s="1">
        <v>3</v>
      </c>
      <c r="D117" s="31">
        <v>40</v>
      </c>
      <c r="E117" s="32">
        <v>3</v>
      </c>
      <c r="F117" s="32">
        <f t="shared" si="22"/>
        <v>120</v>
      </c>
      <c r="G117" s="32">
        <v>18</v>
      </c>
      <c r="H117" s="32">
        <v>120</v>
      </c>
      <c r="I117" s="32">
        <v>40</v>
      </c>
      <c r="J117" s="1">
        <v>40</v>
      </c>
      <c r="K117" s="32">
        <v>120.85299999999999</v>
      </c>
      <c r="L117" s="32">
        <f t="shared" si="23"/>
        <v>0</v>
      </c>
      <c r="M117" s="33">
        <f t="shared" si="24"/>
        <v>7.1083333333332869E-3</v>
      </c>
    </row>
    <row r="118" spans="2:13" ht="15" customHeight="1" x14ac:dyDescent="0.35">
      <c r="B118" s="117"/>
      <c r="C118" s="1">
        <v>4</v>
      </c>
      <c r="D118" s="31">
        <v>40</v>
      </c>
      <c r="E118" s="32">
        <v>3</v>
      </c>
      <c r="F118" s="32">
        <f t="shared" si="22"/>
        <v>120</v>
      </c>
      <c r="G118" s="32">
        <v>18</v>
      </c>
      <c r="H118" s="32">
        <v>120</v>
      </c>
      <c r="I118" s="32">
        <v>40</v>
      </c>
      <c r="J118" s="1">
        <v>40</v>
      </c>
      <c r="K118" s="32">
        <v>120.84950000000001</v>
      </c>
      <c r="L118" s="32">
        <f t="shared" si="23"/>
        <v>0</v>
      </c>
      <c r="M118" s="33">
        <f t="shared" si="24"/>
        <v>7.0791666666667179E-3</v>
      </c>
    </row>
    <row r="119" spans="2:13" ht="15" customHeight="1" x14ac:dyDescent="0.35">
      <c r="B119" s="117"/>
      <c r="C119" s="1">
        <v>5</v>
      </c>
      <c r="D119" s="31">
        <v>40</v>
      </c>
      <c r="E119" s="32">
        <v>3</v>
      </c>
      <c r="F119" s="32">
        <f t="shared" si="22"/>
        <v>120</v>
      </c>
      <c r="G119" s="32">
        <v>18</v>
      </c>
      <c r="H119" s="32">
        <v>120</v>
      </c>
      <c r="I119" s="32">
        <v>40</v>
      </c>
      <c r="J119" s="1">
        <v>40</v>
      </c>
      <c r="K119" s="32">
        <v>120.6962</v>
      </c>
      <c r="L119" s="32">
        <f t="shared" si="23"/>
        <v>0</v>
      </c>
      <c r="M119" s="33">
        <f t="shared" si="24"/>
        <v>5.8016666666667049E-3</v>
      </c>
    </row>
    <row r="120" spans="2:13" ht="15" customHeight="1" x14ac:dyDescent="0.35">
      <c r="B120" s="117"/>
      <c r="C120" s="1">
        <v>6</v>
      </c>
      <c r="D120" s="31">
        <v>40</v>
      </c>
      <c r="E120" s="32">
        <v>3</v>
      </c>
      <c r="F120" s="32">
        <f t="shared" si="22"/>
        <v>120</v>
      </c>
      <c r="G120" s="32">
        <v>18</v>
      </c>
      <c r="H120" s="32">
        <v>120</v>
      </c>
      <c r="I120" s="32">
        <v>40</v>
      </c>
      <c r="J120" s="1">
        <v>40</v>
      </c>
      <c r="K120" s="32">
        <v>121.2251</v>
      </c>
      <c r="L120" s="32">
        <f t="shared" si="23"/>
        <v>0</v>
      </c>
      <c r="M120" s="33">
        <f t="shared" si="24"/>
        <v>1.0209166666666648E-2</v>
      </c>
    </row>
    <row r="121" spans="2:13" ht="15" customHeight="1" x14ac:dyDescent="0.35">
      <c r="B121" s="117"/>
      <c r="C121" s="1">
        <v>7</v>
      </c>
      <c r="D121" s="31">
        <v>40</v>
      </c>
      <c r="E121" s="32">
        <v>3</v>
      </c>
      <c r="F121" s="32">
        <f t="shared" si="22"/>
        <v>120</v>
      </c>
      <c r="G121" s="32">
        <v>18</v>
      </c>
      <c r="H121" s="32">
        <v>120</v>
      </c>
      <c r="I121" s="32">
        <v>40</v>
      </c>
      <c r="J121" s="1">
        <v>40</v>
      </c>
      <c r="K121" s="32">
        <v>120.5273</v>
      </c>
      <c r="L121" s="32">
        <f t="shared" si="23"/>
        <v>0</v>
      </c>
      <c r="M121" s="33">
        <f t="shared" si="24"/>
        <v>4.39416666666664E-3</v>
      </c>
    </row>
    <row r="122" spans="2:13" ht="15" customHeight="1" x14ac:dyDescent="0.35">
      <c r="B122" s="117"/>
      <c r="C122" s="1">
        <v>8</v>
      </c>
      <c r="D122" s="31">
        <v>40</v>
      </c>
      <c r="E122" s="32">
        <v>3</v>
      </c>
      <c r="F122" s="32">
        <f t="shared" si="22"/>
        <v>120</v>
      </c>
      <c r="G122" s="32">
        <v>18</v>
      </c>
      <c r="H122" s="32">
        <v>120</v>
      </c>
      <c r="I122" s="32">
        <v>40</v>
      </c>
      <c r="J122" s="1">
        <v>40</v>
      </c>
      <c r="K122" s="32">
        <v>121.51900000000001</v>
      </c>
      <c r="L122" s="32">
        <f t="shared" si="23"/>
        <v>0</v>
      </c>
      <c r="M122" s="33">
        <f t="shared" si="24"/>
        <v>1.2658333333333379E-2</v>
      </c>
    </row>
    <row r="123" spans="2:13" ht="15" customHeight="1" x14ac:dyDescent="0.35">
      <c r="B123" s="117"/>
      <c r="C123" s="1">
        <v>9</v>
      </c>
      <c r="D123" s="31">
        <v>40</v>
      </c>
      <c r="E123" s="32">
        <v>3</v>
      </c>
      <c r="F123" s="32">
        <f t="shared" si="22"/>
        <v>120</v>
      </c>
      <c r="G123" s="32">
        <v>18</v>
      </c>
      <c r="H123" s="32">
        <v>120</v>
      </c>
      <c r="I123" s="32">
        <v>40</v>
      </c>
      <c r="J123" s="1">
        <v>41</v>
      </c>
      <c r="K123" s="32">
        <v>123.34350000000001</v>
      </c>
      <c r="L123" s="32">
        <f t="shared" si="23"/>
        <v>2.5000000000000001E-2</v>
      </c>
      <c r="M123" s="33">
        <f t="shared" si="24"/>
        <v>2.786250000000005E-2</v>
      </c>
    </row>
    <row r="124" spans="2:13" ht="15" customHeight="1" x14ac:dyDescent="0.35">
      <c r="B124" s="117"/>
      <c r="C124" s="94" t="s">
        <v>76</v>
      </c>
      <c r="D124" s="95">
        <f>SUM(D115:D123)</f>
        <v>360</v>
      </c>
      <c r="E124" s="96" t="s">
        <v>77</v>
      </c>
      <c r="F124" s="96">
        <f>SUM(F115:F123)</f>
        <v>1080</v>
      </c>
      <c r="G124" s="96" t="s">
        <v>77</v>
      </c>
      <c r="H124" s="96" t="s">
        <v>77</v>
      </c>
      <c r="I124" s="96" t="s">
        <v>77</v>
      </c>
      <c r="J124" s="95">
        <f>SUM(J115:J123)</f>
        <v>357</v>
      </c>
      <c r="K124" s="96">
        <f>SUM(K115:K123)</f>
        <v>1062.3376000000001</v>
      </c>
      <c r="L124" s="51"/>
      <c r="M124" s="52"/>
    </row>
    <row r="125" spans="2:13" ht="15" customHeight="1" x14ac:dyDescent="0.35">
      <c r="B125" s="117" t="s">
        <v>42</v>
      </c>
      <c r="C125" s="93">
        <v>1</v>
      </c>
      <c r="D125" s="31">
        <v>39</v>
      </c>
      <c r="E125" s="32">
        <v>3</v>
      </c>
      <c r="F125" s="32">
        <f t="shared" ref="F125:F135" si="25">D125*E125</f>
        <v>117</v>
      </c>
      <c r="G125" s="32">
        <v>18</v>
      </c>
      <c r="H125" s="32">
        <v>120</v>
      </c>
      <c r="I125" s="32">
        <v>40</v>
      </c>
      <c r="J125" s="1">
        <v>30</v>
      </c>
      <c r="K125" s="32">
        <v>96.442499999999995</v>
      </c>
      <c r="L125" s="32">
        <f t="shared" ref="L125:L135" si="26">ABS((J125-D125)/D125)</f>
        <v>0.23076923076923078</v>
      </c>
      <c r="M125" s="33">
        <f t="shared" ref="M125:M135" si="27">ABS((K125-F125)/F125)</f>
        <v>0.17570512820512824</v>
      </c>
    </row>
    <row r="126" spans="2:13" ht="15" customHeight="1" x14ac:dyDescent="0.35">
      <c r="B126" s="117"/>
      <c r="C126" s="1">
        <v>2</v>
      </c>
      <c r="D126" s="31">
        <v>40</v>
      </c>
      <c r="E126" s="32">
        <v>3</v>
      </c>
      <c r="F126" s="32">
        <f t="shared" si="25"/>
        <v>120</v>
      </c>
      <c r="G126" s="32">
        <v>18</v>
      </c>
      <c r="H126" s="32">
        <v>120</v>
      </c>
      <c r="I126" s="32">
        <v>40</v>
      </c>
      <c r="J126" s="1">
        <v>14</v>
      </c>
      <c r="K126" s="32">
        <v>29.441700000000001</v>
      </c>
      <c r="L126" s="32">
        <f t="shared" si="26"/>
        <v>0.65</v>
      </c>
      <c r="M126" s="33">
        <f t="shared" si="27"/>
        <v>0.75465250000000006</v>
      </c>
    </row>
    <row r="127" spans="2:13" ht="15" customHeight="1" x14ac:dyDescent="0.35">
      <c r="B127" s="117"/>
      <c r="C127" s="1">
        <v>3</v>
      </c>
      <c r="D127" s="31">
        <v>40</v>
      </c>
      <c r="E127" s="32">
        <v>3</v>
      </c>
      <c r="F127" s="32">
        <f t="shared" si="25"/>
        <v>120</v>
      </c>
      <c r="G127" s="32">
        <v>18</v>
      </c>
      <c r="H127" s="32">
        <v>120</v>
      </c>
      <c r="I127" s="32">
        <v>40</v>
      </c>
      <c r="J127" s="1">
        <v>41</v>
      </c>
      <c r="K127" s="32">
        <v>124.46510000000001</v>
      </c>
      <c r="L127" s="32">
        <f t="shared" si="26"/>
        <v>2.5000000000000001E-2</v>
      </c>
      <c r="M127" s="33">
        <f t="shared" si="27"/>
        <v>3.7209166666666724E-2</v>
      </c>
    </row>
    <row r="128" spans="2:13" ht="15" customHeight="1" x14ac:dyDescent="0.35">
      <c r="B128" s="117"/>
      <c r="C128" s="1">
        <v>4</v>
      </c>
      <c r="D128" s="31">
        <v>40</v>
      </c>
      <c r="E128" s="32">
        <v>3</v>
      </c>
      <c r="F128" s="32">
        <f t="shared" si="25"/>
        <v>120</v>
      </c>
      <c r="G128" s="32">
        <v>18</v>
      </c>
      <c r="H128" s="32">
        <v>120</v>
      </c>
      <c r="I128" s="32">
        <v>40</v>
      </c>
      <c r="J128" s="1">
        <v>36</v>
      </c>
      <c r="K128" s="32">
        <v>113.2754</v>
      </c>
      <c r="L128" s="32">
        <f t="shared" si="26"/>
        <v>0.1</v>
      </c>
      <c r="M128" s="33">
        <f t="shared" si="27"/>
        <v>5.6038333333333294E-2</v>
      </c>
    </row>
    <row r="129" spans="2:13" ht="15" customHeight="1" x14ac:dyDescent="0.35">
      <c r="B129" s="117"/>
      <c r="C129" s="1">
        <v>5</v>
      </c>
      <c r="D129" s="31">
        <v>40</v>
      </c>
      <c r="E129" s="32">
        <v>3</v>
      </c>
      <c r="F129" s="32">
        <f t="shared" si="25"/>
        <v>120</v>
      </c>
      <c r="G129" s="32">
        <v>18</v>
      </c>
      <c r="H129" s="32">
        <v>120</v>
      </c>
      <c r="I129" s="32">
        <v>40</v>
      </c>
      <c r="J129" s="1">
        <v>41</v>
      </c>
      <c r="K129" s="32">
        <v>132.7363</v>
      </c>
      <c r="L129" s="32">
        <f t="shared" si="26"/>
        <v>2.5000000000000001E-2</v>
      </c>
      <c r="M129" s="33">
        <f t="shared" si="27"/>
        <v>0.10613583333333333</v>
      </c>
    </row>
    <row r="130" spans="2:13" ht="15" customHeight="1" x14ac:dyDescent="0.35">
      <c r="B130" s="117"/>
      <c r="C130" s="1">
        <v>6</v>
      </c>
      <c r="D130" s="31">
        <v>160</v>
      </c>
      <c r="E130" s="32">
        <v>3</v>
      </c>
      <c r="F130" s="32">
        <f t="shared" si="25"/>
        <v>480</v>
      </c>
      <c r="G130" s="32">
        <v>18</v>
      </c>
      <c r="H130" s="32">
        <v>120</v>
      </c>
      <c r="I130" s="32">
        <v>40</v>
      </c>
      <c r="J130" s="1">
        <v>159</v>
      </c>
      <c r="K130" s="32">
        <v>512.86450000000002</v>
      </c>
      <c r="L130" s="32">
        <f t="shared" si="26"/>
        <v>6.2500000000000003E-3</v>
      </c>
      <c r="M130" s="33">
        <f t="shared" si="27"/>
        <v>6.8467708333333377E-2</v>
      </c>
    </row>
    <row r="131" spans="2:13" ht="15" customHeight="1" x14ac:dyDescent="0.35">
      <c r="B131" s="117"/>
      <c r="C131" s="1">
        <v>7</v>
      </c>
      <c r="D131" s="31">
        <v>40</v>
      </c>
      <c r="E131" s="32">
        <v>3</v>
      </c>
      <c r="F131" s="32">
        <f t="shared" si="25"/>
        <v>120</v>
      </c>
      <c r="G131" s="32">
        <v>18</v>
      </c>
      <c r="H131" s="32">
        <v>120</v>
      </c>
      <c r="I131" s="32">
        <v>40</v>
      </c>
      <c r="J131" s="1">
        <v>34</v>
      </c>
      <c r="K131" s="32">
        <v>99.735100000000003</v>
      </c>
      <c r="L131" s="32">
        <f t="shared" si="26"/>
        <v>0.15</v>
      </c>
      <c r="M131" s="33">
        <f t="shared" si="27"/>
        <v>0.16887416666666663</v>
      </c>
    </row>
    <row r="132" spans="2:13" ht="15" customHeight="1" x14ac:dyDescent="0.35">
      <c r="B132" s="117"/>
      <c r="C132" s="1">
        <v>8</v>
      </c>
      <c r="D132" s="31">
        <v>200</v>
      </c>
      <c r="E132" s="32">
        <v>3</v>
      </c>
      <c r="F132" s="32">
        <f t="shared" si="25"/>
        <v>600</v>
      </c>
      <c r="G132" s="32">
        <v>18</v>
      </c>
      <c r="H132" s="32">
        <v>120</v>
      </c>
      <c r="I132" s="32">
        <v>40</v>
      </c>
      <c r="J132" s="1">
        <v>200</v>
      </c>
      <c r="K132" s="32">
        <v>638.13930000000005</v>
      </c>
      <c r="L132" s="32">
        <f t="shared" si="26"/>
        <v>0</v>
      </c>
      <c r="M132" s="33">
        <f t="shared" si="27"/>
        <v>6.356550000000008E-2</v>
      </c>
    </row>
    <row r="133" spans="2:13" ht="15" customHeight="1" x14ac:dyDescent="0.35">
      <c r="B133" s="117"/>
      <c r="C133" s="1">
        <v>9</v>
      </c>
      <c r="D133" s="31">
        <v>200</v>
      </c>
      <c r="E133" s="32">
        <v>3</v>
      </c>
      <c r="F133" s="32">
        <f t="shared" si="25"/>
        <v>600</v>
      </c>
      <c r="G133" s="32">
        <v>18</v>
      </c>
      <c r="H133" s="32">
        <v>120</v>
      </c>
      <c r="I133" s="32">
        <v>40</v>
      </c>
      <c r="J133" s="1">
        <v>207</v>
      </c>
      <c r="K133" s="32">
        <v>654.0942</v>
      </c>
      <c r="L133" s="32">
        <f t="shared" si="26"/>
        <v>3.5000000000000003E-2</v>
      </c>
      <c r="M133" s="33">
        <f t="shared" si="27"/>
        <v>9.0157000000000001E-2</v>
      </c>
    </row>
    <row r="134" spans="2:13" ht="15" customHeight="1" x14ac:dyDescent="0.35">
      <c r="B134" s="117"/>
      <c r="C134" s="1">
        <v>10</v>
      </c>
      <c r="D134" s="31">
        <v>190</v>
      </c>
      <c r="E134" s="32">
        <v>3</v>
      </c>
      <c r="F134" s="32">
        <f t="shared" si="25"/>
        <v>570</v>
      </c>
      <c r="G134" s="32">
        <v>18</v>
      </c>
      <c r="H134" s="32">
        <v>120</v>
      </c>
      <c r="I134" s="32">
        <v>40</v>
      </c>
      <c r="J134" s="1">
        <v>191</v>
      </c>
      <c r="K134" s="32">
        <v>610.52760000000001</v>
      </c>
      <c r="L134" s="32">
        <f t="shared" si="26"/>
        <v>5.263157894736842E-3</v>
      </c>
      <c r="M134" s="33">
        <f t="shared" si="27"/>
        <v>7.1101052631578954E-2</v>
      </c>
    </row>
    <row r="135" spans="2:13" ht="15" customHeight="1" x14ac:dyDescent="0.35">
      <c r="B135" s="117"/>
      <c r="C135" s="1">
        <v>11</v>
      </c>
      <c r="D135" s="31">
        <v>60</v>
      </c>
      <c r="E135" s="32">
        <v>3</v>
      </c>
      <c r="F135" s="32">
        <f t="shared" si="25"/>
        <v>180</v>
      </c>
      <c r="G135" s="32">
        <v>18</v>
      </c>
      <c r="H135" s="32">
        <v>120</v>
      </c>
      <c r="I135" s="32">
        <v>40</v>
      </c>
      <c r="J135" s="1">
        <v>60</v>
      </c>
      <c r="K135" s="32">
        <v>199.1225</v>
      </c>
      <c r="L135" s="32">
        <f t="shared" si="26"/>
        <v>0</v>
      </c>
      <c r="M135" s="33">
        <f t="shared" si="27"/>
        <v>0.10623611111111113</v>
      </c>
    </row>
    <row r="136" spans="2:13" ht="15" customHeight="1" x14ac:dyDescent="0.35">
      <c r="B136" s="117"/>
      <c r="C136" s="94" t="s">
        <v>76</v>
      </c>
      <c r="D136" s="95">
        <f>SUM(D125:D135)</f>
        <v>1049</v>
      </c>
      <c r="E136" s="96" t="s">
        <v>77</v>
      </c>
      <c r="F136" s="96">
        <f>SUM(F125:F135)</f>
        <v>3147</v>
      </c>
      <c r="G136" s="96" t="s">
        <v>77</v>
      </c>
      <c r="H136" s="96" t="s">
        <v>77</v>
      </c>
      <c r="I136" s="96" t="s">
        <v>77</v>
      </c>
      <c r="J136" s="95">
        <f>SUM(J125:J135)</f>
        <v>1013</v>
      </c>
      <c r="K136" s="96">
        <f>SUM(K125:K135)</f>
        <v>3210.8442</v>
      </c>
      <c r="L136" s="51"/>
      <c r="M136" s="52"/>
    </row>
    <row r="137" spans="2:13" ht="15" customHeight="1" x14ac:dyDescent="0.35">
      <c r="B137" s="117" t="s">
        <v>43</v>
      </c>
      <c r="C137" s="93">
        <v>1</v>
      </c>
      <c r="D137" s="31">
        <v>40</v>
      </c>
      <c r="E137" s="32">
        <v>3</v>
      </c>
      <c r="F137" s="32">
        <f t="shared" ref="F137:F161" si="28">D137*E137</f>
        <v>120</v>
      </c>
      <c r="G137" s="32">
        <v>18</v>
      </c>
      <c r="H137" s="32">
        <v>120</v>
      </c>
      <c r="I137" s="32">
        <v>40</v>
      </c>
      <c r="J137" s="1">
        <v>40</v>
      </c>
      <c r="K137" s="32">
        <v>128.85169999999999</v>
      </c>
      <c r="L137" s="32">
        <f t="shared" ref="L137:L161" si="29">ABS((J137-D137)/D137)</f>
        <v>0</v>
      </c>
      <c r="M137" s="33">
        <f t="shared" ref="M137:M161" si="30">ABS((K137-F137)/F137)</f>
        <v>7.3764166666666617E-2</v>
      </c>
    </row>
    <row r="138" spans="2:13" ht="15" customHeight="1" x14ac:dyDescent="0.35">
      <c r="B138" s="117"/>
      <c r="C138" s="1">
        <v>2</v>
      </c>
      <c r="D138" s="31">
        <v>40</v>
      </c>
      <c r="E138" s="32">
        <v>3</v>
      </c>
      <c r="F138" s="32">
        <f t="shared" si="28"/>
        <v>120</v>
      </c>
      <c r="G138" s="32">
        <v>18</v>
      </c>
      <c r="H138" s="32">
        <v>120</v>
      </c>
      <c r="I138" s="32">
        <v>40</v>
      </c>
      <c r="J138" s="1">
        <v>40</v>
      </c>
      <c r="K138" s="32">
        <v>131.68700000000001</v>
      </c>
      <c r="L138" s="32">
        <f t="shared" si="29"/>
        <v>0</v>
      </c>
      <c r="M138" s="33">
        <f t="shared" si="30"/>
        <v>9.7391666666666765E-2</v>
      </c>
    </row>
    <row r="139" spans="2:13" ht="15" customHeight="1" x14ac:dyDescent="0.35">
      <c r="B139" s="117"/>
      <c r="C139" s="1">
        <v>3</v>
      </c>
      <c r="D139" s="31">
        <v>40</v>
      </c>
      <c r="E139" s="32">
        <v>3</v>
      </c>
      <c r="F139" s="32">
        <f t="shared" si="28"/>
        <v>120</v>
      </c>
      <c r="G139" s="32">
        <v>18</v>
      </c>
      <c r="H139" s="32">
        <v>120</v>
      </c>
      <c r="I139" s="32">
        <v>40</v>
      </c>
      <c r="J139" s="1">
        <v>40</v>
      </c>
      <c r="K139" s="32">
        <v>129.85159999999999</v>
      </c>
      <c r="L139" s="32">
        <f t="shared" si="29"/>
        <v>0</v>
      </c>
      <c r="M139" s="33">
        <f t="shared" si="30"/>
        <v>8.2096666666666582E-2</v>
      </c>
    </row>
    <row r="140" spans="2:13" ht="15" customHeight="1" x14ac:dyDescent="0.35">
      <c r="B140" s="117"/>
      <c r="C140" s="1">
        <v>4</v>
      </c>
      <c r="D140" s="31">
        <v>40</v>
      </c>
      <c r="E140" s="32">
        <v>3</v>
      </c>
      <c r="F140" s="32">
        <f t="shared" si="28"/>
        <v>120</v>
      </c>
      <c r="G140" s="32">
        <v>18</v>
      </c>
      <c r="H140" s="32">
        <v>120</v>
      </c>
      <c r="I140" s="32">
        <v>40</v>
      </c>
      <c r="J140" s="1">
        <v>40</v>
      </c>
      <c r="K140" s="32">
        <v>130.7159</v>
      </c>
      <c r="L140" s="32">
        <f t="shared" si="29"/>
        <v>0</v>
      </c>
      <c r="M140" s="33">
        <f t="shared" si="30"/>
        <v>8.9299166666666707E-2</v>
      </c>
    </row>
    <row r="141" spans="2:13" ht="15" customHeight="1" x14ac:dyDescent="0.35">
      <c r="B141" s="117"/>
      <c r="C141" s="1">
        <v>5</v>
      </c>
      <c r="D141" s="31">
        <v>40</v>
      </c>
      <c r="E141" s="32">
        <v>3</v>
      </c>
      <c r="F141" s="32">
        <f t="shared" si="28"/>
        <v>120</v>
      </c>
      <c r="G141" s="32">
        <v>18</v>
      </c>
      <c r="H141" s="32">
        <v>120</v>
      </c>
      <c r="I141" s="32">
        <v>40</v>
      </c>
      <c r="J141" s="1">
        <v>40</v>
      </c>
      <c r="K141" s="32">
        <v>132.18530000000001</v>
      </c>
      <c r="L141" s="32">
        <f t="shared" si="29"/>
        <v>0</v>
      </c>
      <c r="M141" s="33">
        <f t="shared" si="30"/>
        <v>0.10154416666666677</v>
      </c>
    </row>
    <row r="142" spans="2:13" ht="15" customHeight="1" x14ac:dyDescent="0.35">
      <c r="B142" s="117"/>
      <c r="C142" s="1">
        <v>6</v>
      </c>
      <c r="D142" s="31">
        <v>40</v>
      </c>
      <c r="E142" s="32">
        <v>3</v>
      </c>
      <c r="F142" s="32">
        <f t="shared" si="28"/>
        <v>120</v>
      </c>
      <c r="G142" s="32">
        <v>18</v>
      </c>
      <c r="H142" s="32">
        <v>120</v>
      </c>
      <c r="I142" s="32">
        <v>40</v>
      </c>
      <c r="J142" s="1">
        <v>40</v>
      </c>
      <c r="K142" s="32">
        <v>131.5598</v>
      </c>
      <c r="L142" s="32">
        <f t="shared" si="29"/>
        <v>0</v>
      </c>
      <c r="M142" s="33">
        <f t="shared" si="30"/>
        <v>9.6331666666666635E-2</v>
      </c>
    </row>
    <row r="143" spans="2:13" ht="15" customHeight="1" x14ac:dyDescent="0.35">
      <c r="B143" s="117"/>
      <c r="C143" s="1">
        <v>7</v>
      </c>
      <c r="D143" s="31">
        <v>40</v>
      </c>
      <c r="E143" s="32">
        <v>3</v>
      </c>
      <c r="F143" s="32">
        <f t="shared" si="28"/>
        <v>120</v>
      </c>
      <c r="G143" s="32">
        <v>18</v>
      </c>
      <c r="H143" s="32">
        <v>120</v>
      </c>
      <c r="I143" s="32">
        <v>40</v>
      </c>
      <c r="J143" s="1">
        <v>40</v>
      </c>
      <c r="K143" s="32">
        <v>129.31440000000001</v>
      </c>
      <c r="L143" s="32">
        <f t="shared" si="29"/>
        <v>0</v>
      </c>
      <c r="M143" s="33">
        <f t="shared" si="30"/>
        <v>7.762000000000005E-2</v>
      </c>
    </row>
    <row r="144" spans="2:13" ht="15" customHeight="1" x14ac:dyDescent="0.35">
      <c r="B144" s="117"/>
      <c r="C144" s="1">
        <v>8</v>
      </c>
      <c r="D144" s="31">
        <v>40</v>
      </c>
      <c r="E144" s="32">
        <v>3</v>
      </c>
      <c r="F144" s="32">
        <f t="shared" si="28"/>
        <v>120</v>
      </c>
      <c r="G144" s="32">
        <v>18</v>
      </c>
      <c r="H144" s="32">
        <v>120</v>
      </c>
      <c r="I144" s="32">
        <v>40</v>
      </c>
      <c r="J144" s="1">
        <v>40</v>
      </c>
      <c r="K144" s="32">
        <v>122.0562</v>
      </c>
      <c r="L144" s="32">
        <f t="shared" si="29"/>
        <v>0</v>
      </c>
      <c r="M144" s="33">
        <f t="shared" si="30"/>
        <v>1.7135000000000032E-2</v>
      </c>
    </row>
    <row r="145" spans="2:13" ht="15" customHeight="1" x14ac:dyDescent="0.35">
      <c r="B145" s="117"/>
      <c r="C145" s="1">
        <v>9</v>
      </c>
      <c r="D145" s="31">
        <v>40</v>
      </c>
      <c r="E145" s="32">
        <v>3</v>
      </c>
      <c r="F145" s="32">
        <f t="shared" si="28"/>
        <v>120</v>
      </c>
      <c r="G145" s="32">
        <v>18</v>
      </c>
      <c r="H145" s="32">
        <v>120</v>
      </c>
      <c r="I145" s="32">
        <v>40</v>
      </c>
      <c r="J145" s="1">
        <v>41</v>
      </c>
      <c r="K145" s="32">
        <v>131.46850000000001</v>
      </c>
      <c r="L145" s="32">
        <f t="shared" si="29"/>
        <v>2.5000000000000001E-2</v>
      </c>
      <c r="M145" s="33">
        <f t="shared" si="30"/>
        <v>9.5570833333333383E-2</v>
      </c>
    </row>
    <row r="146" spans="2:13" ht="15" customHeight="1" x14ac:dyDescent="0.35">
      <c r="B146" s="117"/>
      <c r="C146" s="26">
        <v>10</v>
      </c>
      <c r="D146" s="31">
        <v>40</v>
      </c>
      <c r="E146" s="32">
        <v>3</v>
      </c>
      <c r="F146" s="32">
        <f t="shared" si="28"/>
        <v>120</v>
      </c>
      <c r="G146" s="32">
        <v>18</v>
      </c>
      <c r="H146" s="32">
        <v>120</v>
      </c>
      <c r="I146" s="32">
        <v>40</v>
      </c>
      <c r="J146" s="1">
        <v>40</v>
      </c>
      <c r="K146" s="32">
        <v>129.96729999999999</v>
      </c>
      <c r="L146" s="32">
        <f t="shared" si="29"/>
        <v>0</v>
      </c>
      <c r="M146" s="33">
        <f t="shared" si="30"/>
        <v>8.3060833333333292E-2</v>
      </c>
    </row>
    <row r="147" spans="2:13" ht="15" customHeight="1" x14ac:dyDescent="0.35">
      <c r="B147" s="117"/>
      <c r="C147" s="1">
        <v>11</v>
      </c>
      <c r="D147" s="31">
        <v>40</v>
      </c>
      <c r="E147" s="32">
        <v>3</v>
      </c>
      <c r="F147" s="32">
        <f t="shared" si="28"/>
        <v>120</v>
      </c>
      <c r="G147" s="32">
        <v>18</v>
      </c>
      <c r="H147" s="32">
        <v>120</v>
      </c>
      <c r="I147" s="32">
        <v>40</v>
      </c>
      <c r="J147" s="1">
        <v>40</v>
      </c>
      <c r="K147" s="32">
        <v>130.21029999999999</v>
      </c>
      <c r="L147" s="32">
        <f t="shared" si="29"/>
        <v>0</v>
      </c>
      <c r="M147" s="33">
        <f t="shared" si="30"/>
        <v>8.5085833333333249E-2</v>
      </c>
    </row>
    <row r="148" spans="2:13" ht="15" customHeight="1" x14ac:dyDescent="0.35">
      <c r="B148" s="117"/>
      <c r="C148" s="1">
        <v>12</v>
      </c>
      <c r="D148" s="31">
        <v>40</v>
      </c>
      <c r="E148" s="32">
        <v>3</v>
      </c>
      <c r="F148" s="32">
        <f t="shared" si="28"/>
        <v>120</v>
      </c>
      <c r="G148" s="32">
        <v>18</v>
      </c>
      <c r="H148" s="32">
        <v>120</v>
      </c>
      <c r="I148" s="32">
        <v>40</v>
      </c>
      <c r="J148" s="1">
        <v>40</v>
      </c>
      <c r="K148" s="32">
        <v>129.744</v>
      </c>
      <c r="L148" s="32">
        <f t="shared" si="29"/>
        <v>0</v>
      </c>
      <c r="M148" s="33">
        <f t="shared" si="30"/>
        <v>8.1199999999999994E-2</v>
      </c>
    </row>
    <row r="149" spans="2:13" ht="15" customHeight="1" x14ac:dyDescent="0.35">
      <c r="B149" s="117"/>
      <c r="C149" s="1">
        <v>13</v>
      </c>
      <c r="D149" s="31">
        <v>40</v>
      </c>
      <c r="E149" s="32">
        <v>3</v>
      </c>
      <c r="F149" s="32">
        <f t="shared" si="28"/>
        <v>120</v>
      </c>
      <c r="G149" s="32">
        <v>18</v>
      </c>
      <c r="H149" s="32">
        <v>120</v>
      </c>
      <c r="I149" s="32">
        <v>40</v>
      </c>
      <c r="J149" s="1">
        <v>40</v>
      </c>
      <c r="K149" s="32">
        <v>131.1165</v>
      </c>
      <c r="L149" s="32">
        <f t="shared" si="29"/>
        <v>0</v>
      </c>
      <c r="M149" s="33">
        <f t="shared" si="30"/>
        <v>9.2637500000000012E-2</v>
      </c>
    </row>
    <row r="150" spans="2:13" ht="15" customHeight="1" x14ac:dyDescent="0.35">
      <c r="B150" s="117"/>
      <c r="C150" s="1">
        <v>14</v>
      </c>
      <c r="D150" s="31">
        <v>40</v>
      </c>
      <c r="E150" s="32">
        <v>3</v>
      </c>
      <c r="F150" s="32">
        <f t="shared" si="28"/>
        <v>120</v>
      </c>
      <c r="G150" s="32">
        <v>18</v>
      </c>
      <c r="H150" s="32">
        <v>120</v>
      </c>
      <c r="I150" s="32">
        <v>40</v>
      </c>
      <c r="J150" s="1">
        <v>40</v>
      </c>
      <c r="K150" s="32">
        <v>124.9706</v>
      </c>
      <c r="L150" s="32">
        <f t="shared" si="29"/>
        <v>0</v>
      </c>
      <c r="M150" s="33">
        <f t="shared" si="30"/>
        <v>4.1421666666666704E-2</v>
      </c>
    </row>
    <row r="151" spans="2:13" ht="15" customHeight="1" x14ac:dyDescent="0.35">
      <c r="B151" s="117"/>
      <c r="C151" s="1">
        <v>15</v>
      </c>
      <c r="D151" s="31">
        <v>40</v>
      </c>
      <c r="E151" s="32">
        <v>3</v>
      </c>
      <c r="F151" s="32">
        <f t="shared" si="28"/>
        <v>120</v>
      </c>
      <c r="G151" s="32">
        <v>18</v>
      </c>
      <c r="H151" s="32">
        <v>120</v>
      </c>
      <c r="I151" s="32">
        <v>40</v>
      </c>
      <c r="J151" s="1">
        <v>40</v>
      </c>
      <c r="K151" s="32">
        <v>131.39400000000001</v>
      </c>
      <c r="L151" s="32">
        <f t="shared" si="29"/>
        <v>0</v>
      </c>
      <c r="M151" s="33">
        <f t="shared" si="30"/>
        <v>9.4950000000000048E-2</v>
      </c>
    </row>
    <row r="152" spans="2:13" ht="15" customHeight="1" x14ac:dyDescent="0.35">
      <c r="B152" s="117"/>
      <c r="C152" s="1">
        <v>16</v>
      </c>
      <c r="D152" s="31">
        <v>40</v>
      </c>
      <c r="E152" s="32">
        <v>3</v>
      </c>
      <c r="F152" s="32">
        <f t="shared" si="28"/>
        <v>120</v>
      </c>
      <c r="G152" s="32">
        <v>18</v>
      </c>
      <c r="H152" s="32">
        <v>120</v>
      </c>
      <c r="I152" s="32">
        <v>40</v>
      </c>
      <c r="J152" s="1">
        <v>40</v>
      </c>
      <c r="K152" s="32">
        <v>131.01660000000001</v>
      </c>
      <c r="L152" s="32">
        <f t="shared" si="29"/>
        <v>0</v>
      </c>
      <c r="M152" s="33">
        <f t="shared" si="30"/>
        <v>9.1805000000000095E-2</v>
      </c>
    </row>
    <row r="153" spans="2:13" ht="15" customHeight="1" x14ac:dyDescent="0.35">
      <c r="B153" s="117"/>
      <c r="C153" s="1">
        <v>17</v>
      </c>
      <c r="D153" s="31">
        <v>40</v>
      </c>
      <c r="E153" s="32">
        <v>3</v>
      </c>
      <c r="F153" s="32">
        <f t="shared" si="28"/>
        <v>120</v>
      </c>
      <c r="G153" s="32">
        <v>18</v>
      </c>
      <c r="H153" s="32">
        <v>120</v>
      </c>
      <c r="I153" s="32">
        <v>40</v>
      </c>
      <c r="J153" s="1">
        <v>41</v>
      </c>
      <c r="K153" s="32">
        <v>132.84209999999999</v>
      </c>
      <c r="L153" s="32">
        <f t="shared" si="29"/>
        <v>2.5000000000000001E-2</v>
      </c>
      <c r="M153" s="33">
        <f t="shared" si="30"/>
        <v>0.1070174999999999</v>
      </c>
    </row>
    <row r="154" spans="2:13" ht="15" customHeight="1" x14ac:dyDescent="0.35">
      <c r="B154" s="117"/>
      <c r="C154" s="1">
        <v>18</v>
      </c>
      <c r="D154" s="31">
        <v>40</v>
      </c>
      <c r="E154" s="32">
        <v>3</v>
      </c>
      <c r="F154" s="32">
        <f t="shared" si="28"/>
        <v>120</v>
      </c>
      <c r="G154" s="32">
        <v>18</v>
      </c>
      <c r="H154" s="32">
        <v>120</v>
      </c>
      <c r="I154" s="32">
        <v>40</v>
      </c>
      <c r="J154" s="1">
        <v>42</v>
      </c>
      <c r="K154" s="32">
        <v>133.2645</v>
      </c>
      <c r="L154" s="32">
        <f t="shared" si="29"/>
        <v>0.05</v>
      </c>
      <c r="M154" s="33">
        <f t="shared" si="30"/>
        <v>0.11053749999999998</v>
      </c>
    </row>
    <row r="155" spans="2:13" ht="15" customHeight="1" x14ac:dyDescent="0.35">
      <c r="B155" s="117"/>
      <c r="C155" s="1">
        <v>19</v>
      </c>
      <c r="D155" s="31">
        <v>40</v>
      </c>
      <c r="E155" s="32">
        <v>3</v>
      </c>
      <c r="F155" s="32">
        <f t="shared" si="28"/>
        <v>120</v>
      </c>
      <c r="G155" s="32">
        <v>18</v>
      </c>
      <c r="H155" s="32">
        <v>120</v>
      </c>
      <c r="I155" s="32">
        <v>40</v>
      </c>
      <c r="J155" s="1">
        <v>39</v>
      </c>
      <c r="K155" s="32">
        <v>127.5121</v>
      </c>
      <c r="L155" s="32">
        <f t="shared" si="29"/>
        <v>2.5000000000000001E-2</v>
      </c>
      <c r="M155" s="33">
        <f t="shared" si="30"/>
        <v>6.2600833333333369E-2</v>
      </c>
    </row>
    <row r="156" spans="2:13" ht="15" customHeight="1" x14ac:dyDescent="0.35">
      <c r="B156" s="117"/>
      <c r="C156" s="1">
        <v>20</v>
      </c>
      <c r="D156" s="31">
        <v>40</v>
      </c>
      <c r="E156" s="32">
        <v>3</v>
      </c>
      <c r="F156" s="32">
        <f t="shared" si="28"/>
        <v>120</v>
      </c>
      <c r="G156" s="32">
        <v>18</v>
      </c>
      <c r="H156" s="32">
        <v>120</v>
      </c>
      <c r="I156" s="32">
        <v>40</v>
      </c>
      <c r="J156" s="1">
        <v>40</v>
      </c>
      <c r="K156" s="32">
        <v>129.6283</v>
      </c>
      <c r="L156" s="32">
        <f t="shared" si="29"/>
        <v>0</v>
      </c>
      <c r="M156" s="33">
        <f t="shared" si="30"/>
        <v>8.0235833333333298E-2</v>
      </c>
    </row>
    <row r="157" spans="2:13" ht="15" customHeight="1" x14ac:dyDescent="0.35">
      <c r="B157" s="117"/>
      <c r="C157" s="1">
        <v>21</v>
      </c>
      <c r="D157" s="31">
        <v>40</v>
      </c>
      <c r="E157" s="32">
        <v>3</v>
      </c>
      <c r="F157" s="32">
        <f t="shared" si="28"/>
        <v>120</v>
      </c>
      <c r="G157" s="32">
        <v>18</v>
      </c>
      <c r="H157" s="32">
        <v>120</v>
      </c>
      <c r="I157" s="32">
        <v>40</v>
      </c>
      <c r="J157" s="1">
        <v>40</v>
      </c>
      <c r="K157" s="32">
        <v>129.24529999999999</v>
      </c>
      <c r="L157" s="32">
        <f t="shared" si="29"/>
        <v>0</v>
      </c>
      <c r="M157" s="33">
        <f t="shared" si="30"/>
        <v>7.7044166666666553E-2</v>
      </c>
    </row>
    <row r="158" spans="2:13" ht="15" customHeight="1" x14ac:dyDescent="0.35">
      <c r="B158" s="117"/>
      <c r="C158" s="1">
        <v>22</v>
      </c>
      <c r="D158" s="31">
        <v>40</v>
      </c>
      <c r="E158" s="32">
        <v>3</v>
      </c>
      <c r="F158" s="32">
        <f t="shared" si="28"/>
        <v>120</v>
      </c>
      <c r="G158" s="32">
        <v>18</v>
      </c>
      <c r="H158" s="32">
        <v>120</v>
      </c>
      <c r="I158" s="32">
        <v>40</v>
      </c>
      <c r="J158" s="1">
        <v>40</v>
      </c>
      <c r="K158" s="32">
        <v>129.90629999999999</v>
      </c>
      <c r="L158" s="32">
        <f t="shared" si="29"/>
        <v>0</v>
      </c>
      <c r="M158" s="33">
        <f t="shared" si="30"/>
        <v>8.255249999999989E-2</v>
      </c>
    </row>
    <row r="159" spans="2:13" ht="15" customHeight="1" x14ac:dyDescent="0.35">
      <c r="B159" s="117"/>
      <c r="C159" s="1">
        <v>23</v>
      </c>
      <c r="D159" s="31">
        <v>40</v>
      </c>
      <c r="E159" s="32">
        <v>3</v>
      </c>
      <c r="F159" s="32">
        <f t="shared" si="28"/>
        <v>120</v>
      </c>
      <c r="G159" s="32">
        <v>18</v>
      </c>
      <c r="H159" s="32">
        <v>120</v>
      </c>
      <c r="I159" s="32">
        <v>40</v>
      </c>
      <c r="J159" s="1">
        <v>40</v>
      </c>
      <c r="K159" s="32">
        <v>129.8921</v>
      </c>
      <c r="L159" s="32">
        <f t="shared" si="29"/>
        <v>0</v>
      </c>
      <c r="M159" s="33">
        <f t="shared" si="30"/>
        <v>8.2434166666666656E-2</v>
      </c>
    </row>
    <row r="160" spans="2:13" ht="15" customHeight="1" x14ac:dyDescent="0.35">
      <c r="B160" s="117"/>
      <c r="C160" s="1">
        <v>24</v>
      </c>
      <c r="D160" s="31">
        <v>40</v>
      </c>
      <c r="E160" s="32">
        <v>3</v>
      </c>
      <c r="F160" s="32">
        <f t="shared" si="28"/>
        <v>120</v>
      </c>
      <c r="G160" s="32">
        <v>18</v>
      </c>
      <c r="H160" s="32">
        <v>120</v>
      </c>
      <c r="I160" s="32">
        <v>40</v>
      </c>
      <c r="J160" s="1">
        <v>40</v>
      </c>
      <c r="K160" s="32">
        <v>129.86160000000001</v>
      </c>
      <c r="L160" s="32">
        <f t="shared" si="29"/>
        <v>0</v>
      </c>
      <c r="M160" s="33">
        <f t="shared" si="30"/>
        <v>8.2180000000000086E-2</v>
      </c>
    </row>
    <row r="161" spans="2:13" ht="15" customHeight="1" x14ac:dyDescent="0.35">
      <c r="B161" s="117"/>
      <c r="C161" s="1">
        <v>25</v>
      </c>
      <c r="D161" s="31">
        <v>40</v>
      </c>
      <c r="E161" s="32">
        <v>3</v>
      </c>
      <c r="F161" s="32">
        <f t="shared" si="28"/>
        <v>120</v>
      </c>
      <c r="G161" s="32">
        <v>18</v>
      </c>
      <c r="H161" s="32">
        <v>120</v>
      </c>
      <c r="I161" s="32">
        <v>40</v>
      </c>
      <c r="J161" s="1">
        <v>41</v>
      </c>
      <c r="K161" s="32">
        <v>130.97329999999999</v>
      </c>
      <c r="L161" s="32">
        <f t="shared" si="29"/>
        <v>2.5000000000000001E-2</v>
      </c>
      <c r="M161" s="33">
        <f t="shared" si="30"/>
        <v>9.1444166666666618E-2</v>
      </c>
    </row>
    <row r="162" spans="2:13" ht="15" customHeight="1" x14ac:dyDescent="0.35">
      <c r="B162" s="117"/>
      <c r="C162" s="94" t="s">
        <v>76</v>
      </c>
      <c r="D162" s="95">
        <f>SUM(D137:D161)</f>
        <v>1000</v>
      </c>
      <c r="E162" s="96" t="s">
        <v>77</v>
      </c>
      <c r="F162" s="96">
        <f>SUM(F137:F161)</f>
        <v>3000</v>
      </c>
      <c r="G162" s="96" t="s">
        <v>77</v>
      </c>
      <c r="H162" s="96" t="s">
        <v>77</v>
      </c>
      <c r="I162" s="96" t="s">
        <v>77</v>
      </c>
      <c r="J162" s="95">
        <f>SUM(J137:J161)</f>
        <v>1004</v>
      </c>
      <c r="K162" s="96">
        <f>SUM(K137:K161)</f>
        <v>3249.2353000000003</v>
      </c>
      <c r="L162" s="51"/>
      <c r="M162" s="99"/>
    </row>
    <row r="163" spans="2:13" ht="15" customHeight="1" x14ac:dyDescent="0.35">
      <c r="B163" s="117" t="s">
        <v>45</v>
      </c>
      <c r="C163" s="93">
        <v>1</v>
      </c>
      <c r="D163" s="31">
        <v>40</v>
      </c>
      <c r="E163" s="32">
        <v>3</v>
      </c>
      <c r="F163" s="32">
        <f t="shared" ref="F163:F168" si="31">D163*E163</f>
        <v>120</v>
      </c>
      <c r="G163" s="32">
        <v>18</v>
      </c>
      <c r="H163" s="32">
        <v>120</v>
      </c>
      <c r="I163" s="32">
        <v>40</v>
      </c>
      <c r="J163" s="1">
        <v>40</v>
      </c>
      <c r="K163" s="32">
        <v>128.6867</v>
      </c>
      <c r="L163" s="32">
        <f t="shared" ref="L163:L168" si="32">ABS((J163-D163)/D163)</f>
        <v>0</v>
      </c>
      <c r="M163" s="33">
        <f t="shared" ref="M163:M168" si="33">ABS((K163-F163)/F163)</f>
        <v>7.2389166666666685E-2</v>
      </c>
    </row>
    <row r="164" spans="2:13" ht="15" customHeight="1" x14ac:dyDescent="0.35">
      <c r="B164" s="117"/>
      <c r="C164" s="1">
        <v>2</v>
      </c>
      <c r="D164" s="31">
        <v>40</v>
      </c>
      <c r="E164" s="32">
        <v>3</v>
      </c>
      <c r="F164" s="32">
        <f t="shared" si="31"/>
        <v>120</v>
      </c>
      <c r="G164" s="32">
        <v>18</v>
      </c>
      <c r="H164" s="32">
        <v>120</v>
      </c>
      <c r="I164" s="32">
        <v>40</v>
      </c>
      <c r="J164" s="1">
        <v>40</v>
      </c>
      <c r="K164" s="32">
        <v>129.14699999999999</v>
      </c>
      <c r="L164" s="32">
        <f t="shared" si="32"/>
        <v>0</v>
      </c>
      <c r="M164" s="33">
        <f t="shared" si="33"/>
        <v>7.6224999999999932E-2</v>
      </c>
    </row>
    <row r="165" spans="2:13" ht="15" customHeight="1" x14ac:dyDescent="0.35">
      <c r="B165" s="117"/>
      <c r="C165" s="1">
        <v>3</v>
      </c>
      <c r="D165" s="31">
        <v>40</v>
      </c>
      <c r="E165" s="32">
        <v>3</v>
      </c>
      <c r="F165" s="32">
        <f t="shared" si="31"/>
        <v>120</v>
      </c>
      <c r="G165" s="32">
        <v>18</v>
      </c>
      <c r="H165" s="32">
        <v>120</v>
      </c>
      <c r="I165" s="32">
        <v>40</v>
      </c>
      <c r="J165" s="1">
        <v>40</v>
      </c>
      <c r="K165" s="32">
        <v>129.84139999999999</v>
      </c>
      <c r="L165" s="32">
        <f t="shared" si="32"/>
        <v>0</v>
      </c>
      <c r="M165" s="33">
        <f t="shared" si="33"/>
        <v>8.2011666666666608E-2</v>
      </c>
    </row>
    <row r="166" spans="2:13" ht="15" customHeight="1" x14ac:dyDescent="0.35">
      <c r="B166" s="117"/>
      <c r="C166" s="1">
        <v>4</v>
      </c>
      <c r="D166" s="31">
        <v>40</v>
      </c>
      <c r="E166" s="32">
        <v>3</v>
      </c>
      <c r="F166" s="32">
        <f t="shared" si="31"/>
        <v>120</v>
      </c>
      <c r="G166" s="32">
        <v>18</v>
      </c>
      <c r="H166" s="32">
        <v>120</v>
      </c>
      <c r="I166" s="32">
        <v>40</v>
      </c>
      <c r="J166" s="1">
        <v>40</v>
      </c>
      <c r="K166" s="32">
        <v>129.0301</v>
      </c>
      <c r="L166" s="32">
        <f t="shared" si="32"/>
        <v>0</v>
      </c>
      <c r="M166" s="33">
        <f t="shared" si="33"/>
        <v>7.5250833333333364E-2</v>
      </c>
    </row>
    <row r="167" spans="2:13" ht="15" customHeight="1" x14ac:dyDescent="0.35">
      <c r="B167" s="117"/>
      <c r="C167" s="1">
        <v>5</v>
      </c>
      <c r="D167" s="31">
        <v>40</v>
      </c>
      <c r="E167" s="32">
        <v>3</v>
      </c>
      <c r="F167" s="32">
        <f t="shared" si="31"/>
        <v>120</v>
      </c>
      <c r="G167" s="32">
        <v>18</v>
      </c>
      <c r="H167" s="32">
        <v>120</v>
      </c>
      <c r="I167" s="32">
        <v>40</v>
      </c>
      <c r="J167" s="1">
        <v>40</v>
      </c>
      <c r="K167" s="32">
        <v>127.7064</v>
      </c>
      <c r="L167" s="32">
        <f t="shared" si="32"/>
        <v>0</v>
      </c>
      <c r="M167" s="33">
        <f t="shared" si="33"/>
        <v>6.4220000000000013E-2</v>
      </c>
    </row>
    <row r="168" spans="2:13" ht="15" customHeight="1" x14ac:dyDescent="0.35">
      <c r="B168" s="117"/>
      <c r="C168" s="1">
        <v>6</v>
      </c>
      <c r="D168" s="31">
        <v>40</v>
      </c>
      <c r="E168" s="32">
        <v>3</v>
      </c>
      <c r="F168" s="32">
        <f t="shared" si="31"/>
        <v>120</v>
      </c>
      <c r="G168" s="32">
        <v>18</v>
      </c>
      <c r="H168" s="32">
        <v>120</v>
      </c>
      <c r="I168" s="32">
        <v>40</v>
      </c>
      <c r="J168" s="1">
        <v>40</v>
      </c>
      <c r="K168" s="32">
        <v>128.00790000000001</v>
      </c>
      <c r="L168" s="32">
        <f t="shared" si="32"/>
        <v>0</v>
      </c>
      <c r="M168" s="33">
        <f t="shared" si="33"/>
        <v>6.6732500000000056E-2</v>
      </c>
    </row>
    <row r="169" spans="2:13" ht="15" customHeight="1" x14ac:dyDescent="0.35">
      <c r="B169" s="117"/>
      <c r="C169" s="94" t="s">
        <v>76</v>
      </c>
      <c r="D169" s="95">
        <f>SUM(D163:D168)</f>
        <v>240</v>
      </c>
      <c r="E169" s="96" t="s">
        <v>77</v>
      </c>
      <c r="F169" s="96">
        <f>SUM(F163:F168)</f>
        <v>720</v>
      </c>
      <c r="G169" s="96" t="s">
        <v>77</v>
      </c>
      <c r="H169" s="96" t="s">
        <v>77</v>
      </c>
      <c r="I169" s="96" t="s">
        <v>77</v>
      </c>
      <c r="J169" s="95">
        <f>SUM(J163:J168)</f>
        <v>240</v>
      </c>
      <c r="K169" s="96">
        <f>SUM(K163:K168)</f>
        <v>772.4195000000002</v>
      </c>
      <c r="L169" s="51"/>
      <c r="M169" s="52"/>
    </row>
    <row r="170" spans="2:13" ht="15" customHeight="1" x14ac:dyDescent="0.35">
      <c r="B170" s="117" t="s">
        <v>46</v>
      </c>
      <c r="C170" s="93">
        <v>1</v>
      </c>
      <c r="D170" s="31">
        <v>40</v>
      </c>
      <c r="E170" s="32">
        <v>3</v>
      </c>
      <c r="F170" s="32">
        <f t="shared" ref="F170:F184" si="34">D170*E170</f>
        <v>120</v>
      </c>
      <c r="G170" s="32">
        <v>18</v>
      </c>
      <c r="H170" s="32">
        <v>120</v>
      </c>
      <c r="I170" s="32">
        <v>40</v>
      </c>
      <c r="J170" s="1">
        <v>40</v>
      </c>
      <c r="K170" s="32">
        <v>126.7972</v>
      </c>
      <c r="L170" s="32">
        <f t="shared" ref="L170:L184" si="35">ABS((J170-D170)/D170)</f>
        <v>0</v>
      </c>
      <c r="M170" s="33">
        <f t="shared" ref="M170:M184" si="36">ABS((K170-F170)/F170)</f>
        <v>5.6643333333333365E-2</v>
      </c>
    </row>
    <row r="171" spans="2:13" ht="15" customHeight="1" x14ac:dyDescent="0.35">
      <c r="B171" s="117"/>
      <c r="C171" s="1">
        <v>2</v>
      </c>
      <c r="D171" s="31">
        <v>40</v>
      </c>
      <c r="E171" s="32">
        <v>3</v>
      </c>
      <c r="F171" s="32">
        <f t="shared" si="34"/>
        <v>120</v>
      </c>
      <c r="G171" s="32">
        <v>18</v>
      </c>
      <c r="H171" s="32">
        <v>120</v>
      </c>
      <c r="I171" s="32">
        <v>40</v>
      </c>
      <c r="J171" s="1">
        <v>40</v>
      </c>
      <c r="K171" s="32">
        <v>127.1815</v>
      </c>
      <c r="L171" s="32">
        <f t="shared" si="35"/>
        <v>0</v>
      </c>
      <c r="M171" s="33">
        <f t="shared" si="36"/>
        <v>5.9845833333333334E-2</v>
      </c>
    </row>
    <row r="172" spans="2:13" ht="15" customHeight="1" x14ac:dyDescent="0.35">
      <c r="B172" s="117"/>
      <c r="C172" s="1">
        <v>3</v>
      </c>
      <c r="D172" s="31">
        <v>40</v>
      </c>
      <c r="E172" s="32">
        <v>3</v>
      </c>
      <c r="F172" s="32">
        <f t="shared" si="34"/>
        <v>120</v>
      </c>
      <c r="G172" s="32">
        <v>18</v>
      </c>
      <c r="H172" s="32">
        <v>120</v>
      </c>
      <c r="I172" s="32">
        <v>40</v>
      </c>
      <c r="J172" s="1">
        <v>42</v>
      </c>
      <c r="K172" s="32">
        <v>134.52199999999999</v>
      </c>
      <c r="L172" s="32">
        <f t="shared" si="35"/>
        <v>0.05</v>
      </c>
      <c r="M172" s="33">
        <f t="shared" si="36"/>
        <v>0.12101666666666659</v>
      </c>
    </row>
    <row r="173" spans="2:13" ht="15" customHeight="1" x14ac:dyDescent="0.35">
      <c r="B173" s="117"/>
      <c r="C173" s="1">
        <v>4</v>
      </c>
      <c r="D173" s="31">
        <v>40</v>
      </c>
      <c r="E173" s="32">
        <v>3</v>
      </c>
      <c r="F173" s="32">
        <f t="shared" si="34"/>
        <v>120</v>
      </c>
      <c r="G173" s="32">
        <v>18</v>
      </c>
      <c r="H173" s="32">
        <v>120</v>
      </c>
      <c r="I173" s="32">
        <v>40</v>
      </c>
      <c r="J173" s="1">
        <v>40</v>
      </c>
      <c r="K173" s="32">
        <v>130.1859</v>
      </c>
      <c r="L173" s="32">
        <f t="shared" si="35"/>
        <v>0</v>
      </c>
      <c r="M173" s="33">
        <f t="shared" si="36"/>
        <v>8.4882500000000027E-2</v>
      </c>
    </row>
    <row r="174" spans="2:13" ht="15" customHeight="1" x14ac:dyDescent="0.35">
      <c r="B174" s="117"/>
      <c r="C174" s="1">
        <v>5</v>
      </c>
      <c r="D174" s="31">
        <v>40</v>
      </c>
      <c r="E174" s="32">
        <v>3</v>
      </c>
      <c r="F174" s="32">
        <f t="shared" si="34"/>
        <v>120</v>
      </c>
      <c r="G174" s="32">
        <v>18</v>
      </c>
      <c r="H174" s="32">
        <v>120</v>
      </c>
      <c r="I174" s="32">
        <v>40</v>
      </c>
      <c r="J174" s="1">
        <v>40</v>
      </c>
      <c r="K174" s="32">
        <v>131.1643</v>
      </c>
      <c r="L174" s="32">
        <f t="shared" si="35"/>
        <v>0</v>
      </c>
      <c r="M174" s="33">
        <f t="shared" si="36"/>
        <v>9.3035833333333304E-2</v>
      </c>
    </row>
    <row r="175" spans="2:13" ht="15" customHeight="1" x14ac:dyDescent="0.35">
      <c r="B175" s="117"/>
      <c r="C175" s="1">
        <v>6</v>
      </c>
      <c r="D175" s="31">
        <v>40</v>
      </c>
      <c r="E175" s="32">
        <v>3</v>
      </c>
      <c r="F175" s="32">
        <f t="shared" si="34"/>
        <v>120</v>
      </c>
      <c r="G175" s="32">
        <v>18</v>
      </c>
      <c r="H175" s="32">
        <v>120</v>
      </c>
      <c r="I175" s="32">
        <v>40</v>
      </c>
      <c r="J175" s="1">
        <v>40</v>
      </c>
      <c r="K175" s="32">
        <v>132.03039999999999</v>
      </c>
      <c r="L175" s="32">
        <f t="shared" si="35"/>
        <v>0</v>
      </c>
      <c r="M175" s="33">
        <f t="shared" si="36"/>
        <v>0.10025333333333322</v>
      </c>
    </row>
    <row r="176" spans="2:13" ht="15" customHeight="1" x14ac:dyDescent="0.35">
      <c r="B176" s="117"/>
      <c r="C176" s="1">
        <v>7</v>
      </c>
      <c r="D176" s="31">
        <v>40</v>
      </c>
      <c r="E176" s="32">
        <v>3</v>
      </c>
      <c r="F176" s="32">
        <f t="shared" si="34"/>
        <v>120</v>
      </c>
      <c r="G176" s="32">
        <v>18</v>
      </c>
      <c r="H176" s="32">
        <v>120</v>
      </c>
      <c r="I176" s="32">
        <v>40</v>
      </c>
      <c r="J176" s="1">
        <v>40</v>
      </c>
      <c r="K176" s="32">
        <v>130.5487</v>
      </c>
      <c r="L176" s="32">
        <f t="shared" si="35"/>
        <v>0</v>
      </c>
      <c r="M176" s="33">
        <f t="shared" si="36"/>
        <v>8.7905833333333308E-2</v>
      </c>
    </row>
    <row r="177" spans="2:13" ht="15" customHeight="1" x14ac:dyDescent="0.35">
      <c r="B177" s="117"/>
      <c r="C177" s="1">
        <v>8</v>
      </c>
      <c r="D177" s="31">
        <v>40</v>
      </c>
      <c r="E177" s="32">
        <v>3</v>
      </c>
      <c r="F177" s="32">
        <f t="shared" si="34"/>
        <v>120</v>
      </c>
      <c r="G177" s="32">
        <v>18</v>
      </c>
      <c r="H177" s="32">
        <v>120</v>
      </c>
      <c r="I177" s="32">
        <v>40</v>
      </c>
      <c r="J177" s="1">
        <v>40</v>
      </c>
      <c r="K177" s="32">
        <v>128.2062</v>
      </c>
      <c r="L177" s="32">
        <f t="shared" si="35"/>
        <v>0</v>
      </c>
      <c r="M177" s="33">
        <f t="shared" si="36"/>
        <v>6.838499999999996E-2</v>
      </c>
    </row>
    <row r="178" spans="2:13" ht="15" customHeight="1" x14ac:dyDescent="0.35">
      <c r="B178" s="117"/>
      <c r="C178" s="1">
        <v>9</v>
      </c>
      <c r="D178" s="31">
        <v>40</v>
      </c>
      <c r="E178" s="32">
        <v>3</v>
      </c>
      <c r="F178" s="32">
        <f t="shared" si="34"/>
        <v>120</v>
      </c>
      <c r="G178" s="32">
        <v>18</v>
      </c>
      <c r="H178" s="32">
        <v>120</v>
      </c>
      <c r="I178" s="32">
        <v>40</v>
      </c>
      <c r="J178" s="1">
        <v>41</v>
      </c>
      <c r="K178" s="32">
        <v>129.48419999999999</v>
      </c>
      <c r="L178" s="32">
        <f t="shared" si="35"/>
        <v>2.5000000000000001E-2</v>
      </c>
      <c r="M178" s="33">
        <f t="shared" si="36"/>
        <v>7.9034999999999897E-2</v>
      </c>
    </row>
    <row r="179" spans="2:13" ht="15" customHeight="1" x14ac:dyDescent="0.35">
      <c r="B179" s="117"/>
      <c r="C179" s="26">
        <v>10</v>
      </c>
      <c r="D179" s="31">
        <v>40</v>
      </c>
      <c r="E179" s="32">
        <v>3</v>
      </c>
      <c r="F179" s="32">
        <f t="shared" si="34"/>
        <v>120</v>
      </c>
      <c r="G179" s="32">
        <v>18</v>
      </c>
      <c r="H179" s="32">
        <v>120</v>
      </c>
      <c r="I179" s="32">
        <v>40</v>
      </c>
      <c r="J179" s="1">
        <v>40</v>
      </c>
      <c r="K179" s="32">
        <v>129.27070000000001</v>
      </c>
      <c r="L179" s="32">
        <f t="shared" si="35"/>
        <v>0</v>
      </c>
      <c r="M179" s="33">
        <f t="shared" si="36"/>
        <v>7.7255833333333371E-2</v>
      </c>
    </row>
    <row r="180" spans="2:13" ht="15" customHeight="1" x14ac:dyDescent="0.35">
      <c r="B180" s="117"/>
      <c r="C180" s="1">
        <v>11</v>
      </c>
      <c r="D180" s="31">
        <v>40</v>
      </c>
      <c r="E180" s="32">
        <v>3</v>
      </c>
      <c r="F180" s="32">
        <f t="shared" si="34"/>
        <v>120</v>
      </c>
      <c r="G180" s="32">
        <v>18</v>
      </c>
      <c r="H180" s="32">
        <v>120</v>
      </c>
      <c r="I180" s="32">
        <v>40</v>
      </c>
      <c r="J180" s="1">
        <v>40</v>
      </c>
      <c r="K180" s="32">
        <v>131.42850000000001</v>
      </c>
      <c r="L180" s="32">
        <f t="shared" si="35"/>
        <v>0</v>
      </c>
      <c r="M180" s="33">
        <f t="shared" si="36"/>
        <v>9.5237500000000114E-2</v>
      </c>
    </row>
    <row r="181" spans="2:13" ht="15" customHeight="1" x14ac:dyDescent="0.35">
      <c r="B181" s="117"/>
      <c r="C181" s="1">
        <v>12</v>
      </c>
      <c r="D181" s="31">
        <v>40</v>
      </c>
      <c r="E181" s="32">
        <v>3</v>
      </c>
      <c r="F181" s="32">
        <f t="shared" si="34"/>
        <v>120</v>
      </c>
      <c r="G181" s="32">
        <v>18</v>
      </c>
      <c r="H181" s="32">
        <v>120</v>
      </c>
      <c r="I181" s="32">
        <v>40</v>
      </c>
      <c r="J181" s="1">
        <v>40</v>
      </c>
      <c r="K181" s="32">
        <v>128.90299999999999</v>
      </c>
      <c r="L181" s="32">
        <f t="shared" si="35"/>
        <v>0</v>
      </c>
      <c r="M181" s="33">
        <f t="shared" si="36"/>
        <v>7.41916666666666E-2</v>
      </c>
    </row>
    <row r="182" spans="2:13" ht="15" customHeight="1" x14ac:dyDescent="0.35">
      <c r="B182" s="117"/>
      <c r="C182" s="1">
        <v>13</v>
      </c>
      <c r="D182" s="31">
        <v>40</v>
      </c>
      <c r="E182" s="32">
        <v>3</v>
      </c>
      <c r="F182" s="32">
        <f t="shared" si="34"/>
        <v>120</v>
      </c>
      <c r="G182" s="32">
        <v>18</v>
      </c>
      <c r="H182" s="32">
        <v>120</v>
      </c>
      <c r="I182" s="32">
        <v>40</v>
      </c>
      <c r="J182" s="1">
        <v>41</v>
      </c>
      <c r="K182" s="32">
        <v>131.1328</v>
      </c>
      <c r="L182" s="32">
        <f t="shared" si="35"/>
        <v>2.5000000000000001E-2</v>
      </c>
      <c r="M182" s="33">
        <f t="shared" si="36"/>
        <v>9.277333333333336E-2</v>
      </c>
    </row>
    <row r="183" spans="2:13" ht="15" customHeight="1" x14ac:dyDescent="0.35">
      <c r="B183" s="117"/>
      <c r="C183" s="1">
        <v>14</v>
      </c>
      <c r="D183" s="31">
        <v>40</v>
      </c>
      <c r="E183" s="32">
        <v>3</v>
      </c>
      <c r="F183" s="32">
        <f t="shared" si="34"/>
        <v>120</v>
      </c>
      <c r="G183" s="32">
        <v>18</v>
      </c>
      <c r="H183" s="32">
        <v>120</v>
      </c>
      <c r="I183" s="32">
        <v>40</v>
      </c>
      <c r="J183" s="1">
        <v>40</v>
      </c>
      <c r="K183" s="32">
        <v>130.44229999999999</v>
      </c>
      <c r="L183" s="32">
        <f t="shared" si="35"/>
        <v>0</v>
      </c>
      <c r="M183" s="33">
        <f t="shared" si="36"/>
        <v>8.7019166666666578E-2</v>
      </c>
    </row>
    <row r="184" spans="2:13" ht="15" customHeight="1" x14ac:dyDescent="0.35">
      <c r="B184" s="117"/>
      <c r="C184" s="1">
        <v>15</v>
      </c>
      <c r="D184" s="31">
        <v>40</v>
      </c>
      <c r="E184" s="32">
        <v>3</v>
      </c>
      <c r="F184" s="32">
        <f t="shared" si="34"/>
        <v>120</v>
      </c>
      <c r="G184" s="32">
        <v>18</v>
      </c>
      <c r="H184" s="32">
        <v>120</v>
      </c>
      <c r="I184" s="32">
        <v>40</v>
      </c>
      <c r="J184" s="1">
        <v>40</v>
      </c>
      <c r="K184" s="32">
        <v>131.23480000000001</v>
      </c>
      <c r="L184" s="32">
        <f t="shared" si="35"/>
        <v>0</v>
      </c>
      <c r="M184" s="33">
        <f t="shared" si="36"/>
        <v>9.3623333333333392E-2</v>
      </c>
    </row>
    <row r="185" spans="2:13" ht="15" customHeight="1" x14ac:dyDescent="0.35">
      <c r="B185" s="117"/>
      <c r="C185" s="94" t="s">
        <v>76</v>
      </c>
      <c r="D185" s="95">
        <f>SUM(D170:D184)</f>
        <v>600</v>
      </c>
      <c r="E185" s="96" t="s">
        <v>77</v>
      </c>
      <c r="F185" s="96">
        <f>SUM(F170:F184)</f>
        <v>1800</v>
      </c>
      <c r="G185" s="96" t="s">
        <v>77</v>
      </c>
      <c r="H185" s="96" t="s">
        <v>77</v>
      </c>
      <c r="I185" s="96" t="s">
        <v>77</v>
      </c>
      <c r="J185" s="95">
        <f>SUM(J170:J184)</f>
        <v>604</v>
      </c>
      <c r="K185" s="96">
        <f>SUM(K170:K184)</f>
        <v>1952.5325000000003</v>
      </c>
      <c r="L185" s="51"/>
      <c r="M185" s="99"/>
    </row>
    <row r="186" spans="2:13" ht="15" customHeight="1" x14ac:dyDescent="0.35">
      <c r="B186" s="117" t="s">
        <v>49</v>
      </c>
      <c r="C186" s="93">
        <v>1</v>
      </c>
      <c r="D186" s="31">
        <v>40</v>
      </c>
      <c r="E186" s="32">
        <v>3</v>
      </c>
      <c r="F186" s="32">
        <f t="shared" ref="F186:F200" si="37">D186*E186</f>
        <v>120</v>
      </c>
      <c r="G186" s="32">
        <v>18</v>
      </c>
      <c r="H186" s="32">
        <v>120</v>
      </c>
      <c r="I186" s="32">
        <v>40</v>
      </c>
      <c r="J186" s="1">
        <v>40</v>
      </c>
      <c r="K186" s="32">
        <v>129.48859999999999</v>
      </c>
      <c r="L186" s="32">
        <f t="shared" ref="L186:L200" si="38">ABS((J186-D186)/D186)</f>
        <v>0</v>
      </c>
      <c r="M186" s="33">
        <f t="shared" ref="M186:M200" si="39">ABS((K186-F186)/F186)</f>
        <v>7.9071666666666596E-2</v>
      </c>
    </row>
    <row r="187" spans="2:13" ht="15" customHeight="1" x14ac:dyDescent="0.35">
      <c r="B187" s="117"/>
      <c r="C187" s="1">
        <v>2</v>
      </c>
      <c r="D187" s="31">
        <v>40</v>
      </c>
      <c r="E187" s="32">
        <v>3</v>
      </c>
      <c r="F187" s="32">
        <f t="shared" si="37"/>
        <v>120</v>
      </c>
      <c r="G187" s="32">
        <v>18</v>
      </c>
      <c r="H187" s="32">
        <v>120</v>
      </c>
      <c r="I187" s="32">
        <v>40</v>
      </c>
      <c r="J187" s="1">
        <v>41</v>
      </c>
      <c r="K187" s="32">
        <v>129.57239999999999</v>
      </c>
      <c r="L187" s="32">
        <f t="shared" si="38"/>
        <v>2.5000000000000001E-2</v>
      </c>
      <c r="M187" s="33">
        <f t="shared" si="39"/>
        <v>7.9769999999999897E-2</v>
      </c>
    </row>
    <row r="188" spans="2:13" ht="15" customHeight="1" x14ac:dyDescent="0.35">
      <c r="B188" s="117"/>
      <c r="C188" s="1">
        <v>3</v>
      </c>
      <c r="D188" s="31">
        <v>40</v>
      </c>
      <c r="E188" s="32">
        <v>3</v>
      </c>
      <c r="F188" s="32">
        <f t="shared" si="37"/>
        <v>120</v>
      </c>
      <c r="G188" s="32">
        <v>18</v>
      </c>
      <c r="H188" s="32">
        <v>120</v>
      </c>
      <c r="I188" s="32">
        <v>40</v>
      </c>
      <c r="J188" s="1">
        <v>39</v>
      </c>
      <c r="K188" s="32">
        <v>126.7116</v>
      </c>
      <c r="L188" s="32">
        <f t="shared" si="38"/>
        <v>2.5000000000000001E-2</v>
      </c>
      <c r="M188" s="33">
        <f t="shared" si="39"/>
        <v>5.5930000000000035E-2</v>
      </c>
    </row>
    <row r="189" spans="2:13" ht="15" customHeight="1" x14ac:dyDescent="0.35">
      <c r="B189" s="117"/>
      <c r="C189" s="1">
        <v>4</v>
      </c>
      <c r="D189" s="31">
        <v>40</v>
      </c>
      <c r="E189" s="32">
        <v>3</v>
      </c>
      <c r="F189" s="32">
        <f t="shared" si="37"/>
        <v>120</v>
      </c>
      <c r="G189" s="32">
        <v>18</v>
      </c>
      <c r="H189" s="32">
        <v>120</v>
      </c>
      <c r="I189" s="32">
        <v>40</v>
      </c>
      <c r="J189" s="1">
        <v>40</v>
      </c>
      <c r="K189" s="32">
        <v>130.06120000000001</v>
      </c>
      <c r="L189" s="32">
        <f t="shared" si="38"/>
        <v>0</v>
      </c>
      <c r="M189" s="33">
        <f t="shared" si="39"/>
        <v>8.384333333333345E-2</v>
      </c>
    </row>
    <row r="190" spans="2:13" ht="15" customHeight="1" x14ac:dyDescent="0.35">
      <c r="B190" s="117"/>
      <c r="C190" s="1">
        <v>5</v>
      </c>
      <c r="D190" s="31">
        <v>40</v>
      </c>
      <c r="E190" s="32">
        <v>3</v>
      </c>
      <c r="F190" s="32">
        <f t="shared" si="37"/>
        <v>120</v>
      </c>
      <c r="G190" s="32">
        <v>18</v>
      </c>
      <c r="H190" s="32">
        <v>120</v>
      </c>
      <c r="I190" s="32">
        <v>40</v>
      </c>
      <c r="J190" s="1">
        <v>39</v>
      </c>
      <c r="K190" s="32">
        <v>126.8539</v>
      </c>
      <c r="L190" s="32">
        <f t="shared" si="38"/>
        <v>2.5000000000000001E-2</v>
      </c>
      <c r="M190" s="33">
        <f t="shared" si="39"/>
        <v>5.7115833333333296E-2</v>
      </c>
    </row>
    <row r="191" spans="2:13" ht="15" customHeight="1" x14ac:dyDescent="0.35">
      <c r="B191" s="117"/>
      <c r="C191" s="1">
        <v>6</v>
      </c>
      <c r="D191" s="31">
        <v>40</v>
      </c>
      <c r="E191" s="32">
        <v>3</v>
      </c>
      <c r="F191" s="32">
        <f t="shared" si="37"/>
        <v>120</v>
      </c>
      <c r="G191" s="32">
        <v>18</v>
      </c>
      <c r="H191" s="32">
        <v>120</v>
      </c>
      <c r="I191" s="32">
        <v>40</v>
      </c>
      <c r="J191" s="1">
        <v>40</v>
      </c>
      <c r="K191" s="32">
        <v>129.77789999999999</v>
      </c>
      <c r="L191" s="32">
        <f t="shared" si="38"/>
        <v>0</v>
      </c>
      <c r="M191" s="33">
        <f t="shared" si="39"/>
        <v>8.1482499999999902E-2</v>
      </c>
    </row>
    <row r="192" spans="2:13" ht="15" customHeight="1" x14ac:dyDescent="0.35">
      <c r="B192" s="117"/>
      <c r="C192" s="1">
        <v>7</v>
      </c>
      <c r="D192" s="31">
        <v>40</v>
      </c>
      <c r="E192" s="32">
        <v>3</v>
      </c>
      <c r="F192" s="32">
        <f t="shared" si="37"/>
        <v>120</v>
      </c>
      <c r="G192" s="32">
        <v>18</v>
      </c>
      <c r="H192" s="32">
        <v>120</v>
      </c>
      <c r="I192" s="32">
        <v>40</v>
      </c>
      <c r="J192" s="1">
        <v>40</v>
      </c>
      <c r="K192" s="32">
        <v>127.7146</v>
      </c>
      <c r="L192" s="32">
        <f t="shared" si="38"/>
        <v>0</v>
      </c>
      <c r="M192" s="33">
        <f t="shared" si="39"/>
        <v>6.4288333333333364E-2</v>
      </c>
    </row>
    <row r="193" spans="2:13" ht="15" customHeight="1" x14ac:dyDescent="0.35">
      <c r="B193" s="117"/>
      <c r="C193" s="1">
        <v>8</v>
      </c>
      <c r="D193" s="31">
        <v>40</v>
      </c>
      <c r="E193" s="32">
        <v>3</v>
      </c>
      <c r="F193" s="32">
        <f t="shared" si="37"/>
        <v>120</v>
      </c>
      <c r="G193" s="32">
        <v>18</v>
      </c>
      <c r="H193" s="32">
        <v>120</v>
      </c>
      <c r="I193" s="32">
        <v>40</v>
      </c>
      <c r="J193" s="1">
        <v>41</v>
      </c>
      <c r="K193" s="32">
        <v>132.9579</v>
      </c>
      <c r="L193" s="32">
        <f t="shared" si="38"/>
        <v>2.5000000000000001E-2</v>
      </c>
      <c r="M193" s="33">
        <f t="shared" si="39"/>
        <v>0.10798249999999995</v>
      </c>
    </row>
    <row r="194" spans="2:13" ht="15" customHeight="1" x14ac:dyDescent="0.35">
      <c r="B194" s="117"/>
      <c r="C194" s="1">
        <v>9</v>
      </c>
      <c r="D194" s="31">
        <v>40</v>
      </c>
      <c r="E194" s="32">
        <v>3</v>
      </c>
      <c r="F194" s="32">
        <f t="shared" si="37"/>
        <v>120</v>
      </c>
      <c r="G194" s="32">
        <v>18</v>
      </c>
      <c r="H194" s="32">
        <v>120</v>
      </c>
      <c r="I194" s="32">
        <v>40</v>
      </c>
      <c r="J194" s="1">
        <v>40</v>
      </c>
      <c r="K194" s="32">
        <v>130.77340000000001</v>
      </c>
      <c r="L194" s="32">
        <f t="shared" si="38"/>
        <v>0</v>
      </c>
      <c r="M194" s="33">
        <f t="shared" si="39"/>
        <v>8.9778333333333418E-2</v>
      </c>
    </row>
    <row r="195" spans="2:13" ht="15" customHeight="1" x14ac:dyDescent="0.35">
      <c r="B195" s="117"/>
      <c r="C195" s="26">
        <v>10</v>
      </c>
      <c r="D195" s="31">
        <v>40</v>
      </c>
      <c r="E195" s="32">
        <v>3</v>
      </c>
      <c r="F195" s="32">
        <f t="shared" si="37"/>
        <v>120</v>
      </c>
      <c r="G195" s="32">
        <v>18</v>
      </c>
      <c r="H195" s="32">
        <v>120</v>
      </c>
      <c r="I195" s="32">
        <v>40</v>
      </c>
      <c r="J195" s="1">
        <v>40</v>
      </c>
      <c r="K195" s="32">
        <v>132.3587</v>
      </c>
      <c r="L195" s="32">
        <f t="shared" si="38"/>
        <v>0</v>
      </c>
      <c r="M195" s="33">
        <f t="shared" si="39"/>
        <v>0.10298916666666666</v>
      </c>
    </row>
    <row r="196" spans="2:13" ht="15" customHeight="1" x14ac:dyDescent="0.35">
      <c r="B196" s="117"/>
      <c r="C196" s="1">
        <v>11</v>
      </c>
      <c r="D196" s="31">
        <v>40</v>
      </c>
      <c r="E196" s="32">
        <v>3</v>
      </c>
      <c r="F196" s="32">
        <f t="shared" si="37"/>
        <v>120</v>
      </c>
      <c r="G196" s="32">
        <v>18</v>
      </c>
      <c r="H196" s="32">
        <v>120</v>
      </c>
      <c r="I196" s="32">
        <v>40</v>
      </c>
      <c r="J196" s="1">
        <v>40</v>
      </c>
      <c r="K196" s="32">
        <v>130.459</v>
      </c>
      <c r="L196" s="32">
        <f t="shared" si="38"/>
        <v>0</v>
      </c>
      <c r="M196" s="33">
        <f t="shared" si="39"/>
        <v>8.7158333333333365E-2</v>
      </c>
    </row>
    <row r="197" spans="2:13" ht="15" customHeight="1" x14ac:dyDescent="0.35">
      <c r="B197" s="117"/>
      <c r="C197" s="1">
        <v>12</v>
      </c>
      <c r="D197" s="31">
        <v>40</v>
      </c>
      <c r="E197" s="32">
        <v>3</v>
      </c>
      <c r="F197" s="32">
        <f t="shared" si="37"/>
        <v>120</v>
      </c>
      <c r="G197" s="32">
        <v>18</v>
      </c>
      <c r="H197" s="32">
        <v>120</v>
      </c>
      <c r="I197" s="32">
        <v>40</v>
      </c>
      <c r="J197" s="1">
        <v>41</v>
      </c>
      <c r="K197" s="32">
        <v>131.6567</v>
      </c>
      <c r="L197" s="32">
        <f t="shared" si="38"/>
        <v>2.5000000000000001E-2</v>
      </c>
      <c r="M197" s="33">
        <f t="shared" si="39"/>
        <v>9.7139166666666679E-2</v>
      </c>
    </row>
    <row r="198" spans="2:13" ht="15" customHeight="1" x14ac:dyDescent="0.35">
      <c r="B198" s="117"/>
      <c r="C198" s="1">
        <v>13</v>
      </c>
      <c r="D198" s="31">
        <v>40</v>
      </c>
      <c r="E198" s="32">
        <v>3</v>
      </c>
      <c r="F198" s="32">
        <f t="shared" si="37"/>
        <v>120</v>
      </c>
      <c r="G198" s="32">
        <v>18</v>
      </c>
      <c r="H198" s="32">
        <v>120</v>
      </c>
      <c r="I198" s="32">
        <v>40</v>
      </c>
      <c r="J198" s="1">
        <v>39</v>
      </c>
      <c r="K198" s="32">
        <v>128.3914</v>
      </c>
      <c r="L198" s="32">
        <f t="shared" si="38"/>
        <v>2.5000000000000001E-2</v>
      </c>
      <c r="M198" s="33">
        <f t="shared" si="39"/>
        <v>6.992833333333337E-2</v>
      </c>
    </row>
    <row r="199" spans="2:13" ht="15" customHeight="1" x14ac:dyDescent="0.35">
      <c r="B199" s="117"/>
      <c r="C199" s="1">
        <v>14</v>
      </c>
      <c r="D199" s="31">
        <v>40</v>
      </c>
      <c r="E199" s="32">
        <v>3</v>
      </c>
      <c r="F199" s="32">
        <f t="shared" si="37"/>
        <v>120</v>
      </c>
      <c r="G199" s="32">
        <v>18</v>
      </c>
      <c r="H199" s="32">
        <v>120</v>
      </c>
      <c r="I199" s="32">
        <v>40</v>
      </c>
      <c r="J199" s="1">
        <v>40</v>
      </c>
      <c r="K199" s="32">
        <v>132.0504</v>
      </c>
      <c r="L199" s="32">
        <f t="shared" si="38"/>
        <v>0</v>
      </c>
      <c r="M199" s="33">
        <f t="shared" si="39"/>
        <v>0.10041999999999997</v>
      </c>
    </row>
    <row r="200" spans="2:13" ht="15" customHeight="1" x14ac:dyDescent="0.35">
      <c r="B200" s="117"/>
      <c r="C200" s="1">
        <v>15</v>
      </c>
      <c r="D200" s="31">
        <v>40</v>
      </c>
      <c r="E200" s="32">
        <v>3</v>
      </c>
      <c r="F200" s="32">
        <f t="shared" si="37"/>
        <v>120</v>
      </c>
      <c r="G200" s="32">
        <v>18</v>
      </c>
      <c r="H200" s="32">
        <v>120</v>
      </c>
      <c r="I200" s="32">
        <v>40</v>
      </c>
      <c r="J200" s="1">
        <v>41</v>
      </c>
      <c r="K200" s="32">
        <v>132.4967</v>
      </c>
      <c r="L200" s="32">
        <f t="shared" si="38"/>
        <v>2.5000000000000001E-2</v>
      </c>
      <c r="M200" s="33">
        <f t="shared" si="39"/>
        <v>0.1041391666666667</v>
      </c>
    </row>
    <row r="201" spans="2:13" ht="15" customHeight="1" x14ac:dyDescent="0.35">
      <c r="B201" s="117"/>
      <c r="C201" s="94" t="s">
        <v>76</v>
      </c>
      <c r="D201" s="95">
        <f>SUM(D186:D200)</f>
        <v>600</v>
      </c>
      <c r="E201" s="96" t="s">
        <v>77</v>
      </c>
      <c r="F201" s="96">
        <f>SUM(F186:F200)</f>
        <v>1800</v>
      </c>
      <c r="G201" s="96" t="s">
        <v>77</v>
      </c>
      <c r="H201" s="96" t="s">
        <v>77</v>
      </c>
      <c r="I201" s="96" t="s">
        <v>77</v>
      </c>
      <c r="J201" s="95">
        <f>SUM(J186:J200)</f>
        <v>601</v>
      </c>
      <c r="K201" s="96">
        <f>SUM(K186:K200)</f>
        <v>1951.3244000000002</v>
      </c>
      <c r="L201" s="51"/>
      <c r="M201" s="99"/>
    </row>
    <row r="202" spans="2:13" ht="15" customHeight="1" x14ac:dyDescent="0.35">
      <c r="B202" s="117" t="s">
        <v>50</v>
      </c>
      <c r="C202" s="93">
        <v>1</v>
      </c>
      <c r="D202" s="31">
        <v>40</v>
      </c>
      <c r="E202" s="32">
        <v>3</v>
      </c>
      <c r="F202" s="32">
        <f t="shared" ref="F202:F209" si="40">D202*E202</f>
        <v>120</v>
      </c>
      <c r="G202" s="32">
        <v>18</v>
      </c>
      <c r="H202" s="32">
        <v>120</v>
      </c>
      <c r="I202" s="32">
        <v>40</v>
      </c>
      <c r="J202" s="1">
        <v>40</v>
      </c>
      <c r="K202" s="32">
        <v>129.62139999999999</v>
      </c>
      <c r="L202" s="32">
        <f t="shared" ref="L202:L209" si="41">ABS((J202-D202)/D202)</f>
        <v>0</v>
      </c>
      <c r="M202" s="33">
        <f t="shared" ref="M202:M209" si="42">ABS((K202-F202)/F202)</f>
        <v>8.0178333333333282E-2</v>
      </c>
    </row>
    <row r="203" spans="2:13" ht="15" customHeight="1" x14ac:dyDescent="0.35">
      <c r="B203" s="117"/>
      <c r="C203" s="1">
        <v>2</v>
      </c>
      <c r="D203" s="31">
        <v>80</v>
      </c>
      <c r="E203" s="32">
        <v>3</v>
      </c>
      <c r="F203" s="32">
        <f t="shared" si="40"/>
        <v>240</v>
      </c>
      <c r="G203" s="32">
        <v>18</v>
      </c>
      <c r="H203" s="32">
        <v>120</v>
      </c>
      <c r="I203" s="32">
        <v>40</v>
      </c>
      <c r="J203" s="1">
        <v>80</v>
      </c>
      <c r="K203" s="32">
        <v>259.54219999999998</v>
      </c>
      <c r="L203" s="32">
        <f t="shared" si="41"/>
        <v>0</v>
      </c>
      <c r="M203" s="33">
        <f t="shared" si="42"/>
        <v>8.1425833333333253E-2</v>
      </c>
    </row>
    <row r="204" spans="2:13" ht="15" customHeight="1" x14ac:dyDescent="0.35">
      <c r="B204" s="117"/>
      <c r="C204" s="1">
        <v>3</v>
      </c>
      <c r="D204" s="31">
        <v>80</v>
      </c>
      <c r="E204" s="32">
        <v>3</v>
      </c>
      <c r="F204" s="32">
        <f t="shared" si="40"/>
        <v>240</v>
      </c>
      <c r="G204" s="32">
        <v>18</v>
      </c>
      <c r="H204" s="32">
        <v>120</v>
      </c>
      <c r="I204" s="32">
        <v>40</v>
      </c>
      <c r="J204" s="1">
        <v>80</v>
      </c>
      <c r="K204" s="32">
        <v>258.32870000000003</v>
      </c>
      <c r="L204" s="32">
        <f t="shared" si="41"/>
        <v>0</v>
      </c>
      <c r="M204" s="33">
        <f t="shared" si="42"/>
        <v>7.6369583333333449E-2</v>
      </c>
    </row>
    <row r="205" spans="2:13" ht="15" customHeight="1" x14ac:dyDescent="0.35">
      <c r="B205" s="117"/>
      <c r="C205" s="1">
        <v>4</v>
      </c>
      <c r="D205" s="31">
        <v>40</v>
      </c>
      <c r="E205" s="32">
        <v>3</v>
      </c>
      <c r="F205" s="32">
        <f t="shared" si="40"/>
        <v>120</v>
      </c>
      <c r="G205" s="32">
        <v>18</v>
      </c>
      <c r="H205" s="32">
        <v>120</v>
      </c>
      <c r="I205" s="32">
        <v>40</v>
      </c>
      <c r="J205" s="1">
        <v>40</v>
      </c>
      <c r="K205" s="32">
        <v>126.9435</v>
      </c>
      <c r="L205" s="32">
        <f t="shared" si="41"/>
        <v>0</v>
      </c>
      <c r="M205" s="33">
        <f t="shared" si="42"/>
        <v>5.7862500000000004E-2</v>
      </c>
    </row>
    <row r="206" spans="2:13" ht="15" customHeight="1" x14ac:dyDescent="0.35">
      <c r="B206" s="117"/>
      <c r="C206" s="1">
        <v>5</v>
      </c>
      <c r="D206" s="31">
        <v>160</v>
      </c>
      <c r="E206" s="32">
        <v>3</v>
      </c>
      <c r="F206" s="32">
        <f t="shared" si="40"/>
        <v>480</v>
      </c>
      <c r="G206" s="32">
        <v>18</v>
      </c>
      <c r="H206" s="32">
        <v>120</v>
      </c>
      <c r="I206" s="32">
        <v>40</v>
      </c>
      <c r="J206" s="1">
        <v>160</v>
      </c>
      <c r="K206" s="32">
        <v>512.28949999999998</v>
      </c>
      <c r="L206" s="32">
        <f t="shared" si="41"/>
        <v>0</v>
      </c>
      <c r="M206" s="33">
        <f t="shared" si="42"/>
        <v>6.726979166666662E-2</v>
      </c>
    </row>
    <row r="207" spans="2:13" ht="15" customHeight="1" x14ac:dyDescent="0.35">
      <c r="B207" s="117"/>
      <c r="C207" s="1">
        <v>6</v>
      </c>
      <c r="D207" s="31">
        <v>160</v>
      </c>
      <c r="E207" s="32">
        <v>3</v>
      </c>
      <c r="F207" s="32">
        <f t="shared" si="40"/>
        <v>480</v>
      </c>
      <c r="G207" s="32">
        <v>18</v>
      </c>
      <c r="H207" s="32">
        <v>120</v>
      </c>
      <c r="I207" s="32">
        <v>40</v>
      </c>
      <c r="J207" s="1">
        <v>159</v>
      </c>
      <c r="K207" s="32">
        <v>514.50160000000005</v>
      </c>
      <c r="L207" s="32">
        <f t="shared" si="41"/>
        <v>6.2500000000000003E-3</v>
      </c>
      <c r="M207" s="33">
        <f t="shared" si="42"/>
        <v>7.1878333333333447E-2</v>
      </c>
    </row>
    <row r="208" spans="2:13" ht="15" customHeight="1" x14ac:dyDescent="0.35">
      <c r="B208" s="117"/>
      <c r="C208" s="1">
        <v>7</v>
      </c>
      <c r="D208" s="31">
        <v>90</v>
      </c>
      <c r="E208" s="32">
        <v>3</v>
      </c>
      <c r="F208" s="32">
        <f t="shared" si="40"/>
        <v>270</v>
      </c>
      <c r="G208" s="32">
        <v>18</v>
      </c>
      <c r="H208" s="32">
        <v>120</v>
      </c>
      <c r="I208" s="32">
        <v>40</v>
      </c>
      <c r="J208" s="1">
        <v>85</v>
      </c>
      <c r="K208" s="32">
        <v>274.5489</v>
      </c>
      <c r="L208" s="32">
        <f t="shared" si="41"/>
        <v>5.5555555555555552E-2</v>
      </c>
      <c r="M208" s="33">
        <f t="shared" si="42"/>
        <v>1.6847777777777791E-2</v>
      </c>
    </row>
    <row r="209" spans="2:13" ht="15" customHeight="1" x14ac:dyDescent="0.35">
      <c r="B209" s="117"/>
      <c r="C209" s="1">
        <v>8</v>
      </c>
      <c r="D209" s="31">
        <v>176</v>
      </c>
      <c r="E209" s="32">
        <v>3</v>
      </c>
      <c r="F209" s="32">
        <f t="shared" si="40"/>
        <v>528</v>
      </c>
      <c r="G209" s="32">
        <v>18</v>
      </c>
      <c r="H209" s="32">
        <v>120</v>
      </c>
      <c r="I209" s="32">
        <v>40</v>
      </c>
      <c r="J209" s="1">
        <v>174</v>
      </c>
      <c r="K209" s="32">
        <v>560.32960000000003</v>
      </c>
      <c r="L209" s="32">
        <f t="shared" si="41"/>
        <v>1.1363636363636364E-2</v>
      </c>
      <c r="M209" s="33">
        <f t="shared" si="42"/>
        <v>6.1230303030303079E-2</v>
      </c>
    </row>
    <row r="210" spans="2:13" ht="15" customHeight="1" x14ac:dyDescent="0.35">
      <c r="B210" s="117"/>
      <c r="C210" s="94" t="s">
        <v>76</v>
      </c>
      <c r="D210" s="95">
        <f>SUM(D202:D209)</f>
        <v>826</v>
      </c>
      <c r="E210" s="96" t="s">
        <v>77</v>
      </c>
      <c r="F210" s="96">
        <f>SUM(F202:F209)</f>
        <v>2478</v>
      </c>
      <c r="G210" s="96" t="s">
        <v>77</v>
      </c>
      <c r="H210" s="96" t="s">
        <v>77</v>
      </c>
      <c r="I210" s="96" t="s">
        <v>77</v>
      </c>
      <c r="J210" s="95">
        <f>SUM(J202:J209)</f>
        <v>818</v>
      </c>
      <c r="K210" s="96">
        <f>SUM(K202:K209)</f>
        <v>2636.1054000000004</v>
      </c>
      <c r="L210" s="51"/>
      <c r="M210" s="52"/>
    </row>
    <row r="214" spans="2:13" ht="15" customHeight="1" x14ac:dyDescent="0.35">
      <c r="B214" s="117" t="s">
        <v>51</v>
      </c>
      <c r="C214" s="93">
        <v>1</v>
      </c>
      <c r="D214" s="87">
        <v>100</v>
      </c>
      <c r="E214" s="88">
        <v>3</v>
      </c>
      <c r="F214" s="88">
        <f>D214*E214</f>
        <v>300</v>
      </c>
      <c r="G214" s="88">
        <v>18</v>
      </c>
      <c r="H214" s="88">
        <v>120</v>
      </c>
      <c r="I214" s="88">
        <v>40</v>
      </c>
      <c r="J214" s="93">
        <v>97</v>
      </c>
      <c r="K214" s="88">
        <v>299.04950000000002</v>
      </c>
      <c r="L214" s="88">
        <f>ABS((J214-D214)/D214)</f>
        <v>0.03</v>
      </c>
      <c r="M214" s="68">
        <f>ABS((K214-F214)/F214)</f>
        <v>3.1683333333332561E-3</v>
      </c>
    </row>
    <row r="215" spans="2:13" ht="15" customHeight="1" x14ac:dyDescent="0.35">
      <c r="B215" s="117"/>
      <c r="C215" s="1">
        <v>2</v>
      </c>
      <c r="D215" s="31">
        <v>100</v>
      </c>
      <c r="E215" s="32">
        <v>3</v>
      </c>
      <c r="F215" s="32">
        <f>D215*E215</f>
        <v>300</v>
      </c>
      <c r="G215" s="32">
        <v>18</v>
      </c>
      <c r="H215" s="32">
        <v>120</v>
      </c>
      <c r="I215" s="32">
        <v>40</v>
      </c>
      <c r="J215" s="1">
        <v>67</v>
      </c>
      <c r="K215" s="32">
        <v>204.9101</v>
      </c>
      <c r="L215" s="32">
        <f>ABS((J215-D215)/D215)</f>
        <v>0.33</v>
      </c>
      <c r="M215" s="33">
        <f>ABS((K215-F215)/F215)</f>
        <v>0.31696633333333335</v>
      </c>
    </row>
    <row r="216" spans="2:13" ht="15" customHeight="1" x14ac:dyDescent="0.35">
      <c r="B216" s="117"/>
      <c r="C216" s="1">
        <v>3</v>
      </c>
      <c r="D216" s="31">
        <v>100</v>
      </c>
      <c r="E216" s="32">
        <v>3</v>
      </c>
      <c r="F216" s="32">
        <f>D216*E216</f>
        <v>300</v>
      </c>
      <c r="G216" s="32">
        <v>18</v>
      </c>
      <c r="H216" s="32">
        <v>120</v>
      </c>
      <c r="I216" s="32">
        <v>40</v>
      </c>
      <c r="J216" s="1">
        <v>83</v>
      </c>
      <c r="K216" s="32">
        <v>253.66149999999999</v>
      </c>
      <c r="L216" s="32">
        <f>ABS((J216-D216)/D216)</f>
        <v>0.17</v>
      </c>
      <c r="M216" s="33">
        <f>ABS((K216-F216)/F216)</f>
        <v>0.15446166666666669</v>
      </c>
    </row>
    <row r="217" spans="2:13" ht="15" customHeight="1" x14ac:dyDescent="0.35">
      <c r="B217" s="117"/>
      <c r="C217" s="1">
        <v>4</v>
      </c>
      <c r="D217" s="31">
        <v>100</v>
      </c>
      <c r="E217" s="32">
        <v>3</v>
      </c>
      <c r="F217" s="32">
        <f>D217*E217</f>
        <v>300</v>
      </c>
      <c r="G217" s="32">
        <v>18</v>
      </c>
      <c r="H217" s="32">
        <v>120</v>
      </c>
      <c r="I217" s="32">
        <v>40</v>
      </c>
      <c r="J217" s="1">
        <v>13</v>
      </c>
      <c r="K217" s="32">
        <v>39.733400000000003</v>
      </c>
      <c r="L217" s="32">
        <f>ABS((J217-D217)/D217)</f>
        <v>0.87</v>
      </c>
      <c r="M217" s="33">
        <f>ABS((K217-F217)/F217)</f>
        <v>0.86755533333333323</v>
      </c>
    </row>
    <row r="218" spans="2:13" ht="15" customHeight="1" x14ac:dyDescent="0.35">
      <c r="B218" s="117"/>
      <c r="C218" s="94" t="s">
        <v>76</v>
      </c>
      <c r="D218" s="95">
        <f>SUM(D214:D217)</f>
        <v>400</v>
      </c>
      <c r="E218" s="96" t="s">
        <v>77</v>
      </c>
      <c r="F218" s="96">
        <f>SUM(F214:F217)</f>
        <v>1200</v>
      </c>
      <c r="G218" s="96" t="s">
        <v>77</v>
      </c>
      <c r="H218" s="96" t="s">
        <v>77</v>
      </c>
      <c r="I218" s="96" t="s">
        <v>77</v>
      </c>
      <c r="J218" s="95">
        <f>SUM(J214:J217)</f>
        <v>260</v>
      </c>
      <c r="K218" s="96">
        <f>SUM(K214:K217)</f>
        <v>797.35450000000003</v>
      </c>
      <c r="L218" s="51"/>
      <c r="M218" s="52"/>
    </row>
    <row r="219" spans="2:13" ht="15" customHeight="1" x14ac:dyDescent="0.35">
      <c r="B219" s="117" t="s">
        <v>52</v>
      </c>
      <c r="C219" s="93">
        <v>1</v>
      </c>
      <c r="D219" s="87">
        <v>80</v>
      </c>
      <c r="E219" s="88">
        <v>3</v>
      </c>
      <c r="F219" s="88">
        <f>D219*E219</f>
        <v>240</v>
      </c>
      <c r="G219" s="88">
        <v>18</v>
      </c>
      <c r="H219" s="88">
        <v>120</v>
      </c>
      <c r="I219" s="88">
        <v>40</v>
      </c>
      <c r="J219" s="93">
        <v>1</v>
      </c>
      <c r="K219" s="88">
        <v>0.4032</v>
      </c>
      <c r="L219" s="88">
        <f>ABS((J219-D219)/D219)</f>
        <v>0.98750000000000004</v>
      </c>
      <c r="M219" s="68">
        <f>ABS((K219-F219)/F219)</f>
        <v>0.99831999999999999</v>
      </c>
    </row>
    <row r="220" spans="2:13" ht="15" customHeight="1" x14ac:dyDescent="0.35">
      <c r="B220" s="117"/>
      <c r="C220" s="1">
        <v>2</v>
      </c>
      <c r="D220" s="31">
        <v>80</v>
      </c>
      <c r="E220" s="32">
        <v>3</v>
      </c>
      <c r="F220" s="32">
        <f>D220*E220</f>
        <v>240</v>
      </c>
      <c r="G220" s="32">
        <v>18</v>
      </c>
      <c r="H220" s="32">
        <v>120</v>
      </c>
      <c r="I220" s="32">
        <v>40</v>
      </c>
      <c r="J220" s="1">
        <v>0</v>
      </c>
      <c r="K220" s="32">
        <v>0</v>
      </c>
      <c r="L220" s="32">
        <f>ABS((J220-D220)/D220)</f>
        <v>1</v>
      </c>
      <c r="M220" s="33">
        <f>ABS((K220-F220)/F220)</f>
        <v>1</v>
      </c>
    </row>
    <row r="221" spans="2:13" ht="15" customHeight="1" x14ac:dyDescent="0.35">
      <c r="B221" s="117"/>
      <c r="C221" s="1">
        <v>3</v>
      </c>
      <c r="D221" s="31">
        <v>80</v>
      </c>
      <c r="E221" s="32">
        <v>3</v>
      </c>
      <c r="F221" s="32">
        <f>D221*E221</f>
        <v>240</v>
      </c>
      <c r="G221" s="32">
        <v>18</v>
      </c>
      <c r="H221" s="32">
        <v>120</v>
      </c>
      <c r="I221" s="32">
        <v>40</v>
      </c>
      <c r="J221" s="1">
        <v>0</v>
      </c>
      <c r="K221" s="32">
        <v>0</v>
      </c>
      <c r="L221" s="32">
        <f>ABS((J221-D221)/D221)</f>
        <v>1</v>
      </c>
      <c r="M221" s="33">
        <f>ABS((K221-F221)/F221)</f>
        <v>1</v>
      </c>
    </row>
    <row r="222" spans="2:13" ht="15" customHeight="1" x14ac:dyDescent="0.35">
      <c r="B222" s="117"/>
      <c r="C222" s="100" t="s">
        <v>76</v>
      </c>
      <c r="D222" s="95">
        <f>SUM(D219:D221)</f>
        <v>240</v>
      </c>
      <c r="E222" s="96" t="s">
        <v>77</v>
      </c>
      <c r="F222" s="96">
        <f>SUM(F219:F221)</f>
        <v>720</v>
      </c>
      <c r="G222" s="96" t="s">
        <v>77</v>
      </c>
      <c r="H222" s="96" t="s">
        <v>77</v>
      </c>
      <c r="I222" s="96" t="s">
        <v>77</v>
      </c>
      <c r="J222" s="95">
        <f>SUM(J219:J221)</f>
        <v>1</v>
      </c>
      <c r="K222" s="96"/>
      <c r="L222" s="51"/>
      <c r="M222" s="52"/>
    </row>
    <row r="223" spans="2:13" ht="15" customHeight="1" x14ac:dyDescent="0.35">
      <c r="B223" s="117" t="s">
        <v>53</v>
      </c>
      <c r="C223" s="93">
        <v>1</v>
      </c>
      <c r="D223" s="87">
        <v>140</v>
      </c>
      <c r="E223" s="88">
        <v>3</v>
      </c>
      <c r="F223" s="88">
        <f>D223*E223</f>
        <v>420</v>
      </c>
      <c r="G223" s="88">
        <v>18</v>
      </c>
      <c r="H223" s="88">
        <v>120</v>
      </c>
      <c r="I223" s="88">
        <v>40</v>
      </c>
      <c r="J223" s="93">
        <v>23</v>
      </c>
      <c r="K223" s="88">
        <v>18.739799999999999</v>
      </c>
      <c r="L223" s="88">
        <f>ABS((J223-D223)/D223)</f>
        <v>0.83571428571428574</v>
      </c>
      <c r="M223" s="33">
        <f>ABS((K223-F223)/F223)</f>
        <v>0.9553814285714286</v>
      </c>
    </row>
    <row r="224" spans="2:13" ht="15" customHeight="1" x14ac:dyDescent="0.35">
      <c r="B224" s="117"/>
      <c r="C224" s="101">
        <v>2</v>
      </c>
      <c r="D224" s="32">
        <v>120</v>
      </c>
      <c r="E224" s="32">
        <v>3</v>
      </c>
      <c r="F224" s="32">
        <f>D224*E224</f>
        <v>360</v>
      </c>
      <c r="G224" s="32">
        <v>18</v>
      </c>
      <c r="H224" s="32">
        <v>120</v>
      </c>
      <c r="I224" s="32">
        <v>40</v>
      </c>
      <c r="J224" s="1">
        <v>32</v>
      </c>
      <c r="K224" s="32">
        <v>90.494</v>
      </c>
      <c r="L224" s="32">
        <f>ABS((J224-D224)/D224)</f>
        <v>0.73333333333333328</v>
      </c>
      <c r="M224" s="33">
        <f>ABS((K224-F224)/F224)</f>
        <v>0.74862777777777767</v>
      </c>
    </row>
    <row r="225" spans="2:13" ht="15" customHeight="1" x14ac:dyDescent="0.35">
      <c r="B225" s="117"/>
      <c r="C225" s="1">
        <v>3</v>
      </c>
      <c r="D225" s="31">
        <v>130</v>
      </c>
      <c r="E225" s="32">
        <v>3</v>
      </c>
      <c r="F225" s="32">
        <f>D225*E225</f>
        <v>390</v>
      </c>
      <c r="G225" s="32">
        <v>18</v>
      </c>
      <c r="H225" s="32">
        <v>120</v>
      </c>
      <c r="I225" s="32">
        <v>40</v>
      </c>
      <c r="J225" s="1">
        <v>30</v>
      </c>
      <c r="K225" s="32">
        <v>88.540800000000004</v>
      </c>
      <c r="L225" s="32">
        <f>ABS((J225-D225)/D225)</f>
        <v>0.76923076923076927</v>
      </c>
      <c r="M225" s="33">
        <f>ABS((K225-F225)/F225)</f>
        <v>0.77297230769230774</v>
      </c>
    </row>
    <row r="226" spans="2:13" ht="15" customHeight="1" x14ac:dyDescent="0.35">
      <c r="B226" s="117"/>
      <c r="C226" s="1">
        <v>4</v>
      </c>
      <c r="D226" s="31">
        <v>130</v>
      </c>
      <c r="E226" s="32">
        <v>3</v>
      </c>
      <c r="F226" s="32">
        <f>D226*E226</f>
        <v>390</v>
      </c>
      <c r="G226" s="32">
        <v>18</v>
      </c>
      <c r="H226" s="32">
        <v>120</v>
      </c>
      <c r="I226" s="32">
        <v>40</v>
      </c>
      <c r="J226" s="1">
        <v>34</v>
      </c>
      <c r="K226" s="32">
        <v>98.632499999999993</v>
      </c>
      <c r="L226" s="32">
        <f>ABS((J226-D226)/D226)</f>
        <v>0.7384615384615385</v>
      </c>
      <c r="M226" s="33">
        <f>ABS((K226-F226)/F226)</f>
        <v>0.74709615384615391</v>
      </c>
    </row>
    <row r="227" spans="2:13" ht="15" customHeight="1" x14ac:dyDescent="0.35">
      <c r="B227" s="117"/>
      <c r="C227" s="1">
        <v>5</v>
      </c>
      <c r="D227" s="31">
        <v>130</v>
      </c>
      <c r="E227" s="32">
        <v>3</v>
      </c>
      <c r="F227" s="32">
        <f>D227*E227</f>
        <v>390</v>
      </c>
      <c r="G227" s="32">
        <v>18</v>
      </c>
      <c r="H227" s="32">
        <v>120</v>
      </c>
      <c r="I227" s="32">
        <v>40</v>
      </c>
      <c r="J227" s="1">
        <v>31</v>
      </c>
      <c r="K227" s="32">
        <v>88.988699999999994</v>
      </c>
      <c r="L227" s="32">
        <f>ABS((J227-D227)/D227)</f>
        <v>0.7615384615384615</v>
      </c>
      <c r="M227" s="33">
        <f>ABS((K227-F227)/F227)</f>
        <v>0.77182384615384614</v>
      </c>
    </row>
    <row r="228" spans="2:13" ht="15" customHeight="1" x14ac:dyDescent="0.35">
      <c r="B228" s="117"/>
      <c r="C228" s="100" t="s">
        <v>76</v>
      </c>
      <c r="D228" s="95">
        <f>SUM(D223:D227)</f>
        <v>650</v>
      </c>
      <c r="E228" s="96" t="s">
        <v>77</v>
      </c>
      <c r="F228" s="96">
        <f>SUM(F223:F227)</f>
        <v>1950</v>
      </c>
      <c r="G228" s="96" t="s">
        <v>77</v>
      </c>
      <c r="H228" s="96" t="s">
        <v>77</v>
      </c>
      <c r="I228" s="96" t="s">
        <v>77</v>
      </c>
      <c r="J228" s="95">
        <f>SUM(J223:J227)</f>
        <v>150</v>
      </c>
      <c r="K228" s="96"/>
      <c r="L228" s="51"/>
      <c r="M228" s="52"/>
    </row>
    <row r="229" spans="2:13" ht="15" customHeight="1" x14ac:dyDescent="0.35">
      <c r="B229" s="117" t="s">
        <v>54</v>
      </c>
      <c r="C229" s="93">
        <v>1</v>
      </c>
      <c r="D229" s="31">
        <v>80</v>
      </c>
      <c r="E229" s="32">
        <v>3</v>
      </c>
      <c r="F229" s="32">
        <f t="shared" ref="F229:F235" si="43">D229*E229</f>
        <v>240</v>
      </c>
      <c r="G229" s="32">
        <v>18</v>
      </c>
      <c r="H229" s="32">
        <v>120</v>
      </c>
      <c r="I229" s="32">
        <v>40</v>
      </c>
      <c r="J229" s="1">
        <v>21</v>
      </c>
      <c r="K229" s="32">
        <v>17.234100000000002</v>
      </c>
      <c r="L229" s="32">
        <f t="shared" ref="L229:L235" si="44">ABS((J229-D229)/D229)</f>
        <v>0.73750000000000004</v>
      </c>
      <c r="M229" s="33">
        <f t="shared" ref="M229:M235" si="45">ABS((K229-F229)/F229)</f>
        <v>0.92819124999999991</v>
      </c>
    </row>
    <row r="230" spans="2:13" ht="15" customHeight="1" x14ac:dyDescent="0.35">
      <c r="B230" s="117"/>
      <c r="C230" s="1">
        <v>2</v>
      </c>
      <c r="D230" s="31">
        <v>80</v>
      </c>
      <c r="E230" s="32">
        <v>3</v>
      </c>
      <c r="F230" s="32">
        <f t="shared" si="43"/>
        <v>240</v>
      </c>
      <c r="G230" s="32">
        <v>18</v>
      </c>
      <c r="H230" s="32">
        <v>120</v>
      </c>
      <c r="I230" s="32">
        <v>40</v>
      </c>
      <c r="J230" s="1">
        <v>53</v>
      </c>
      <c r="K230" s="32">
        <v>134.14449999999999</v>
      </c>
      <c r="L230" s="32">
        <f t="shared" si="44"/>
        <v>0.33750000000000002</v>
      </c>
      <c r="M230" s="33">
        <f t="shared" si="45"/>
        <v>0.44106458333333337</v>
      </c>
    </row>
    <row r="231" spans="2:13" ht="15" customHeight="1" x14ac:dyDescent="0.35">
      <c r="B231" s="117"/>
      <c r="C231" s="1">
        <v>3</v>
      </c>
      <c r="D231" s="31">
        <v>80</v>
      </c>
      <c r="E231" s="32">
        <v>3</v>
      </c>
      <c r="F231" s="32">
        <f t="shared" si="43"/>
        <v>240</v>
      </c>
      <c r="G231" s="32">
        <v>18</v>
      </c>
      <c r="H231" s="32">
        <v>120</v>
      </c>
      <c r="I231" s="32">
        <v>40</v>
      </c>
      <c r="J231" s="1">
        <v>53</v>
      </c>
      <c r="K231" s="32">
        <v>142.3407</v>
      </c>
      <c r="L231" s="32">
        <f t="shared" si="44"/>
        <v>0.33750000000000002</v>
      </c>
      <c r="M231" s="33">
        <f t="shared" si="45"/>
        <v>0.40691375000000002</v>
      </c>
    </row>
    <row r="232" spans="2:13" ht="15" customHeight="1" x14ac:dyDescent="0.35">
      <c r="B232" s="117"/>
      <c r="C232" s="1">
        <v>4</v>
      </c>
      <c r="D232" s="31">
        <v>80</v>
      </c>
      <c r="E232" s="32">
        <v>3</v>
      </c>
      <c r="F232" s="32">
        <f t="shared" si="43"/>
        <v>240</v>
      </c>
      <c r="G232" s="32">
        <v>18</v>
      </c>
      <c r="H232" s="32">
        <v>120</v>
      </c>
      <c r="I232" s="32">
        <v>40</v>
      </c>
      <c r="J232" s="1">
        <v>55</v>
      </c>
      <c r="K232" s="32">
        <v>148.405</v>
      </c>
      <c r="L232" s="32">
        <f t="shared" si="44"/>
        <v>0.3125</v>
      </c>
      <c r="M232" s="33">
        <f t="shared" si="45"/>
        <v>0.38164583333333335</v>
      </c>
    </row>
    <row r="233" spans="2:13" ht="15" customHeight="1" x14ac:dyDescent="0.35">
      <c r="B233" s="117"/>
      <c r="C233" s="1">
        <v>5</v>
      </c>
      <c r="D233" s="31">
        <v>80</v>
      </c>
      <c r="E233" s="32">
        <v>3</v>
      </c>
      <c r="F233" s="32">
        <f t="shared" si="43"/>
        <v>240</v>
      </c>
      <c r="G233" s="32">
        <v>18</v>
      </c>
      <c r="H233" s="32">
        <v>120</v>
      </c>
      <c r="I233" s="32">
        <v>40</v>
      </c>
      <c r="J233" s="1">
        <v>34</v>
      </c>
      <c r="K233" s="32">
        <v>40.409100000000002</v>
      </c>
      <c r="L233" s="32">
        <f t="shared" si="44"/>
        <v>0.57499999999999996</v>
      </c>
      <c r="M233" s="33">
        <f t="shared" si="45"/>
        <v>0.83162875000000003</v>
      </c>
    </row>
    <row r="234" spans="2:13" ht="15" customHeight="1" x14ac:dyDescent="0.35">
      <c r="B234" s="117"/>
      <c r="C234" s="1">
        <v>6</v>
      </c>
      <c r="D234" s="31">
        <v>80</v>
      </c>
      <c r="E234" s="32">
        <v>3</v>
      </c>
      <c r="F234" s="32">
        <f t="shared" si="43"/>
        <v>240</v>
      </c>
      <c r="G234" s="32">
        <v>18</v>
      </c>
      <c r="H234" s="32">
        <v>120</v>
      </c>
      <c r="I234" s="32">
        <v>40</v>
      </c>
      <c r="J234" s="1">
        <v>57</v>
      </c>
      <c r="K234" s="32">
        <v>151.642</v>
      </c>
      <c r="L234" s="32">
        <f t="shared" si="44"/>
        <v>0.28749999999999998</v>
      </c>
      <c r="M234" s="33">
        <f t="shared" si="45"/>
        <v>0.36815833333333337</v>
      </c>
    </row>
    <row r="235" spans="2:13" ht="15" customHeight="1" x14ac:dyDescent="0.35">
      <c r="B235" s="117"/>
      <c r="C235" s="1">
        <v>7</v>
      </c>
      <c r="D235" s="31">
        <v>80</v>
      </c>
      <c r="E235" s="32">
        <v>3</v>
      </c>
      <c r="F235" s="32">
        <f t="shared" si="43"/>
        <v>240</v>
      </c>
      <c r="G235" s="32">
        <v>18</v>
      </c>
      <c r="H235" s="32">
        <v>120</v>
      </c>
      <c r="I235" s="32">
        <v>40</v>
      </c>
      <c r="J235" s="1">
        <v>53</v>
      </c>
      <c r="K235" s="32">
        <v>153.8921</v>
      </c>
      <c r="L235" s="32">
        <f t="shared" si="44"/>
        <v>0.33750000000000002</v>
      </c>
      <c r="M235" s="33">
        <f t="shared" si="45"/>
        <v>0.35878291666666667</v>
      </c>
    </row>
    <row r="236" spans="2:13" ht="15" customHeight="1" x14ac:dyDescent="0.35">
      <c r="B236" s="117"/>
      <c r="C236" s="94" t="s">
        <v>76</v>
      </c>
      <c r="D236" s="95">
        <f>SUM(D229:D235)</f>
        <v>560</v>
      </c>
      <c r="E236" s="96" t="s">
        <v>77</v>
      </c>
      <c r="F236" s="96">
        <f>SUM(F229:F235)</f>
        <v>1680</v>
      </c>
      <c r="G236" s="96" t="s">
        <v>77</v>
      </c>
      <c r="H236" s="96" t="s">
        <v>77</v>
      </c>
      <c r="I236" s="96" t="s">
        <v>77</v>
      </c>
      <c r="J236" s="95">
        <f>SUM(J229:J235)</f>
        <v>326</v>
      </c>
      <c r="K236" s="96">
        <f>SUM(K229:K235)</f>
        <v>788.0675</v>
      </c>
      <c r="L236" s="51"/>
      <c r="M236" s="52"/>
    </row>
    <row r="237" spans="2:13" ht="15" customHeight="1" x14ac:dyDescent="0.35">
      <c r="B237" s="117" t="s">
        <v>47</v>
      </c>
      <c r="C237" s="93">
        <v>1</v>
      </c>
      <c r="D237" s="31">
        <v>40</v>
      </c>
      <c r="E237" s="32">
        <v>3</v>
      </c>
      <c r="F237" s="32">
        <f t="shared" ref="F237:F242" si="46">D237*E237</f>
        <v>120</v>
      </c>
      <c r="G237" s="32">
        <v>18</v>
      </c>
      <c r="H237" s="32">
        <v>120</v>
      </c>
      <c r="I237" s="32">
        <v>40</v>
      </c>
      <c r="J237" s="1">
        <v>40</v>
      </c>
      <c r="K237" s="32">
        <v>128.74690000000001</v>
      </c>
      <c r="L237" s="32">
        <f t="shared" ref="L237:L242" si="47">ABS((J237-D237)/D237)</f>
        <v>0</v>
      </c>
      <c r="M237" s="33">
        <f t="shared" ref="M237:M242" si="48">ABS((K237-F237)/F237)</f>
        <v>7.2890833333333419E-2</v>
      </c>
    </row>
    <row r="238" spans="2:13" ht="15" customHeight="1" x14ac:dyDescent="0.35">
      <c r="B238" s="117"/>
      <c r="C238" s="1">
        <v>2</v>
      </c>
      <c r="D238" s="31">
        <v>40</v>
      </c>
      <c r="E238" s="32">
        <v>3</v>
      </c>
      <c r="F238" s="32">
        <f t="shared" si="46"/>
        <v>120</v>
      </c>
      <c r="G238" s="32">
        <v>18</v>
      </c>
      <c r="H238" s="32">
        <v>120</v>
      </c>
      <c r="I238" s="32">
        <v>40</v>
      </c>
      <c r="J238" s="1">
        <v>40</v>
      </c>
      <c r="K238" s="32">
        <v>129.0558</v>
      </c>
      <c r="L238" s="32">
        <f t="shared" si="47"/>
        <v>0</v>
      </c>
      <c r="M238" s="33">
        <f t="shared" si="48"/>
        <v>7.5465000000000046E-2</v>
      </c>
    </row>
    <row r="239" spans="2:13" ht="15" customHeight="1" x14ac:dyDescent="0.35">
      <c r="B239" s="117"/>
      <c r="C239" s="1">
        <v>3</v>
      </c>
      <c r="D239" s="31">
        <v>70</v>
      </c>
      <c r="E239" s="32">
        <v>3</v>
      </c>
      <c r="F239" s="32">
        <f t="shared" si="46"/>
        <v>210</v>
      </c>
      <c r="G239" s="32">
        <v>18</v>
      </c>
      <c r="H239" s="32">
        <v>120</v>
      </c>
      <c r="I239" s="32">
        <v>40</v>
      </c>
      <c r="J239" s="1">
        <v>63</v>
      </c>
      <c r="K239" s="32">
        <v>188.10830000000001</v>
      </c>
      <c r="L239" s="32">
        <f t="shared" si="47"/>
        <v>0.1</v>
      </c>
      <c r="M239" s="33">
        <f t="shared" si="48"/>
        <v>0.10424619047619041</v>
      </c>
    </row>
    <row r="240" spans="2:13" ht="15" customHeight="1" x14ac:dyDescent="0.35">
      <c r="B240" s="117"/>
      <c r="C240" s="1">
        <v>4</v>
      </c>
      <c r="D240" s="31">
        <v>60</v>
      </c>
      <c r="E240" s="32">
        <v>3</v>
      </c>
      <c r="F240" s="32">
        <f t="shared" si="46"/>
        <v>180</v>
      </c>
      <c r="G240" s="32">
        <v>18</v>
      </c>
      <c r="H240" s="32">
        <v>120</v>
      </c>
      <c r="I240" s="32">
        <v>40</v>
      </c>
      <c r="J240" s="1">
        <v>55</v>
      </c>
      <c r="K240" s="32">
        <v>158.43680000000001</v>
      </c>
      <c r="L240" s="32">
        <f t="shared" si="47"/>
        <v>8.3333333333333329E-2</v>
      </c>
      <c r="M240" s="33">
        <f t="shared" si="48"/>
        <v>0.11979555555555553</v>
      </c>
    </row>
    <row r="241" spans="2:13" ht="15" customHeight="1" x14ac:dyDescent="0.35">
      <c r="B241" s="117"/>
      <c r="C241" s="1">
        <v>5</v>
      </c>
      <c r="D241" s="31">
        <v>60</v>
      </c>
      <c r="E241" s="32">
        <v>3</v>
      </c>
      <c r="F241" s="32">
        <f t="shared" si="46"/>
        <v>180</v>
      </c>
      <c r="G241" s="32">
        <v>18</v>
      </c>
      <c r="H241" s="32">
        <v>120</v>
      </c>
      <c r="I241" s="32">
        <v>40</v>
      </c>
      <c r="J241" s="1">
        <v>48</v>
      </c>
      <c r="K241" s="32">
        <v>142.43459999999999</v>
      </c>
      <c r="L241" s="32">
        <f t="shared" si="47"/>
        <v>0.2</v>
      </c>
      <c r="M241" s="33">
        <f t="shared" si="48"/>
        <v>0.20869666666666672</v>
      </c>
    </row>
    <row r="242" spans="2:13" ht="15" customHeight="1" x14ac:dyDescent="0.35">
      <c r="B242" s="117"/>
      <c r="C242" s="1">
        <v>6</v>
      </c>
      <c r="D242" s="31">
        <v>60</v>
      </c>
      <c r="E242" s="32">
        <v>3</v>
      </c>
      <c r="F242" s="32">
        <f t="shared" si="46"/>
        <v>180</v>
      </c>
      <c r="G242" s="32">
        <v>18</v>
      </c>
      <c r="H242" s="32">
        <v>120</v>
      </c>
      <c r="I242" s="32">
        <v>40</v>
      </c>
      <c r="J242" s="1">
        <v>47</v>
      </c>
      <c r="K242" s="32">
        <v>133.73769999999999</v>
      </c>
      <c r="L242" s="32">
        <f t="shared" si="47"/>
        <v>0.21666666666666667</v>
      </c>
      <c r="M242" s="33">
        <f t="shared" si="48"/>
        <v>0.25701277777777781</v>
      </c>
    </row>
    <row r="243" spans="2:13" ht="15" customHeight="1" x14ac:dyDescent="0.35">
      <c r="B243" s="117"/>
      <c r="C243" s="94" t="s">
        <v>76</v>
      </c>
      <c r="D243" s="95">
        <f>SUM(D237:D242)</f>
        <v>330</v>
      </c>
      <c r="E243" s="96" t="s">
        <v>77</v>
      </c>
      <c r="F243" s="96">
        <f>SUM(F237:F242)</f>
        <v>990</v>
      </c>
      <c r="G243" s="96" t="s">
        <v>77</v>
      </c>
      <c r="H243" s="96" t="s">
        <v>77</v>
      </c>
      <c r="I243" s="96" t="s">
        <v>77</v>
      </c>
      <c r="J243" s="95">
        <f>SUM(J237:J242)</f>
        <v>293</v>
      </c>
      <c r="K243" s="96">
        <f>SUM(K237:K242)</f>
        <v>880.52010000000007</v>
      </c>
      <c r="L243" s="51"/>
      <c r="M243" s="52"/>
    </row>
  </sheetData>
  <mergeCells count="30">
    <mergeCell ref="B3:B9"/>
    <mergeCell ref="B10:B15"/>
    <mergeCell ref="B16:B23"/>
    <mergeCell ref="B24:B30"/>
    <mergeCell ref="B31:B38"/>
    <mergeCell ref="B39:B44"/>
    <mergeCell ref="B45:B46"/>
    <mergeCell ref="B47:B53"/>
    <mergeCell ref="B54:B57"/>
    <mergeCell ref="B58:B59"/>
    <mergeCell ref="B60:B61"/>
    <mergeCell ref="B64:B75"/>
    <mergeCell ref="B76:B83"/>
    <mergeCell ref="B84:B89"/>
    <mergeCell ref="B90:B95"/>
    <mergeCell ref="B96:B104"/>
    <mergeCell ref="B105:B108"/>
    <mergeCell ref="B109:B114"/>
    <mergeCell ref="B115:B124"/>
    <mergeCell ref="B125:B136"/>
    <mergeCell ref="B137:B162"/>
    <mergeCell ref="B163:B169"/>
    <mergeCell ref="B170:B185"/>
    <mergeCell ref="B186:B201"/>
    <mergeCell ref="B202:B210"/>
    <mergeCell ref="B214:B218"/>
    <mergeCell ref="B219:B222"/>
    <mergeCell ref="B223:B228"/>
    <mergeCell ref="B229:B236"/>
    <mergeCell ref="B237:B243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Summary</vt:lpstr>
      <vt:lpstr>CI Method</vt:lpstr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Brett Fassler</dc:creator>
  <dc:description/>
  <cp:lastModifiedBy>Edward Sazonov</cp:lastModifiedBy>
  <cp:revision>0</cp:revision>
  <dcterms:created xsi:type="dcterms:W3CDTF">2015-06-05T18:17:20Z</dcterms:created>
  <dcterms:modified xsi:type="dcterms:W3CDTF">2026-08-20T15:10:00Z</dcterms:modified>
  <dc:language>en-US</dc:language>
</cp:coreProperties>
</file>