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ummary" sheetId="1" state="visible" r:id="rId3"/>
    <sheet name="CI Method" sheetId="2" state="visible" r:id="rId4"/>
    <sheet name="All Data" sheetId="3" state="visible" r:id="rId5"/>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Brett Fassler:
Each puff session entails 80 puffs followed by a recharge. The final test may have less than 80 puffs if the vape died completely during the test.
</t>
        </r>
      </text>
    </comment>
    <comment ref="C2" authorId="0">
      <text>
        <r>
          <rPr>
            <sz val="10"/>
            <rFont val="Arial"/>
            <family val="2"/>
          </rPr>
          <t xml:space="preserve">Brett Fassler:
Each puff session entails 80 puffs followed by a recharge. The final test may have less than 80 puffs if the vape died completely during the test.
</t>
        </r>
      </text>
    </comment>
  </commentList>
</comments>
</file>

<file path=xl/sharedStrings.xml><?xml version="1.0" encoding="utf-8"?>
<sst xmlns="http://schemas.openxmlformats.org/spreadsheetml/2006/main" count="375" uniqueCount="106">
  <si>
    <t xml:space="preserve">Puffer Parameters</t>
  </si>
  <si>
    <t xml:space="preserve">FRIENDS Measurements</t>
  </si>
  <si>
    <t xml:space="preserve">Vape Info.</t>
  </si>
  <si>
    <t xml:space="preserve">Vape</t>
  </si>
  <si>
    <t xml:space="preserve">Number of Puffs</t>
  </si>
  <si>
    <t xml:space="preserve">Puff Time (s)</t>
  </si>
  <si>
    <t xml:space="preserve">Total Puff Time (s)</t>
  </si>
  <si>
    <t xml:space="preserve">Interpuff Time (s)</t>
  </si>
  <si>
    <t xml:space="preserve">Puff Volume (mL)</t>
  </si>
  <si>
    <t xml:space="preserve">Puff Flow Rate (mL/s)</t>
  </si>
  <si>
    <t xml:space="preserve">Puffs Counted</t>
  </si>
  <si>
    <t xml:space="preserve">Puff Count RE (puff-weighted)</t>
  </si>
  <si>
    <t xml:space="preserve">Puff Count RE ± 95% CI (ratio estimator)</t>
  </si>
  <si>
    <t xml:space="preserve">Puff Time RE (puff-time-weighted)</t>
  </si>
  <si>
    <t xml:space="preserve">Puff Time RE ± 95% CI (ratio estimator)</t>
  </si>
  <si>
    <t xml:space="preserve">Thermistor Used (Y/N)</t>
  </si>
  <si>
    <t xml:space="preserve">Thermistor Needed (Y/N)</t>
  </si>
  <si>
    <t xml:space="preserve">Characteristics</t>
  </si>
  <si>
    <t xml:space="preserve">n (sessions)</t>
  </si>
  <si>
    <t xml:space="preserve">Σ Delivered Puffs</t>
  </si>
  <si>
    <t xml:space="preserve">Σ Delivered Puff Time (s)</t>
  </si>
  <si>
    <t xml:space="preserve">Adjust Myflavor</t>
  </si>
  <si>
    <t xml:space="preserve">Y</t>
  </si>
  <si>
    <t xml:space="preserve">N</t>
  </si>
  <si>
    <t xml:space="preserve">Closed System; Rechargeable</t>
  </si>
  <si>
    <t xml:space="preserve">Tested By Brett</t>
  </si>
  <si>
    <t xml:space="preserve">Artery CL6</t>
  </si>
  <si>
    <t xml:space="preserve">Not updated in the website</t>
  </si>
  <si>
    <t xml:space="preserve">Breeze Pro</t>
  </si>
  <si>
    <t xml:space="preserve">Closed System; Non-rechargeable</t>
  </si>
  <si>
    <t xml:space="preserve">`</t>
  </si>
  <si>
    <t xml:space="preserve">EBCreate BC 5000</t>
  </si>
  <si>
    <t xml:space="preserve">Elf Bar BC5000</t>
  </si>
  <si>
    <t xml:space="preserve">Funky Republic ti7000</t>
  </si>
  <si>
    <t xml:space="preserve">Fzzybar X20000</t>
  </si>
  <si>
    <t xml:space="preserve">Geek Bar Pulse</t>
  </si>
  <si>
    <t xml:space="preserve">Hyde IQ5000</t>
  </si>
  <si>
    <t xml:space="preserve">Hyde N-bar</t>
  </si>
  <si>
    <t xml:space="preserve">Hyde Rebel</t>
  </si>
  <si>
    <t xml:space="preserve">Juul</t>
  </si>
  <si>
    <t xml:space="preserve">Pod; Non-refillable</t>
  </si>
  <si>
    <t xml:space="preserve">Kangvape Speedy Beast X</t>
  </si>
  <si>
    <t xml:space="preserve">Lost Angel Sphere 35K</t>
  </si>
  <si>
    <t xml:space="preserve">Closed System; Rechargable</t>
  </si>
  <si>
    <t xml:space="preserve">Lost Mary MT15000</t>
  </si>
  <si>
    <t xml:space="preserve">Mr Fog Aura</t>
  </si>
  <si>
    <t xml:space="preserve">MR Fog Nova</t>
  </si>
  <si>
    <t xml:space="preserve">Njoy Ace</t>
  </si>
  <si>
    <t xml:space="preserve">North 5000 Disposable</t>
  </si>
  <si>
    <t xml:space="preserve">Offstamp SW 9000</t>
  </si>
  <si>
    <t xml:space="preserve">Offstamp X cube</t>
  </si>
  <si>
    <t xml:space="preserve">RAZ DC25000</t>
  </si>
  <si>
    <t xml:space="preserve">Tyson Heavyweight</t>
  </si>
  <si>
    <t xml:space="preserve">Viho TRX 50k</t>
  </si>
  <si>
    <t xml:space="preserve">Fogger Switch Pro</t>
  </si>
  <si>
    <t xml:space="preserve">Juul 2</t>
  </si>
  <si>
    <t xml:space="preserve">KangerTech SUBOX</t>
  </si>
  <si>
    <t xml:space="preserve">LostMary OS5000</t>
  </si>
  <si>
    <t xml:space="preserve">Confidence intervals for FRIENDS accuracy: method comparison</t>
  </si>
  <si>
    <t xml:space="preserve">Old = unweighted t-CI over session-level |RE| (previous Data Summary K/N). New = puff-weighted ratio estimator with sessions as clusters (current Data Summary K/N).</t>
  </si>
  <si>
    <t xml:space="preserve">n sessions</t>
  </si>
  <si>
    <t xml:space="preserve">Σ puffs delivered</t>
  </si>
  <si>
    <t xml:space="preserve">Min session size</t>
  </si>
  <si>
    <t xml:space="preserve">Max session size</t>
  </si>
  <si>
    <t xml:space="preserve">OLD count |RE| mean</t>
  </si>
  <si>
    <t xml:space="preserve">OLD ±95% CI</t>
  </si>
  <si>
    <t xml:space="preserve">OLD CI lower bound</t>
  </si>
  <si>
    <t xml:space="preserve">NEW count WMAPE</t>
  </si>
  <si>
    <t xml:space="preserve">NEW ±95% CI</t>
  </si>
  <si>
    <t xml:space="preserve">Signed count bias</t>
  </si>
  <si>
    <t xml:space="preserve">Signed ±95% CI</t>
  </si>
  <si>
    <t xml:space="preserve">OLD time |RE| mean</t>
  </si>
  <si>
    <t xml:space="preserve">NEW time WMAPE</t>
  </si>
  <si>
    <t xml:space="preserve">Signed time bias</t>
  </si>
  <si>
    <t xml:space="preserve">Why the old formula was wrong</t>
  </si>
  <si>
    <t xml:space="preserve">1. Unit-of-analysis mismatch. The old CI treats every puff session as one equally weighted observation, but sessions within a vape range from 16 to 200 delivered puffs. A session error rate estimated from 16 puffs is far noisier than one from 200 puffs, so the session-level |RE| values are heteroscedastic and the unweighted mean/STDEV is neither efficient nor correctly scaled.</t>
  </si>
  <si>
    <t xml:space="preserve">2. Different total puffs per vape. Because the estimand is a per-puff error rate, the natural denominator is total puffs delivered, not number of sessions. The number of sessions is an administrative artifact of how testing was batched.</t>
  </si>
  <si>
    <t xml:space="preserve">3. Symmetric t-CI on a non-negative folded quantity. |RE| &gt;= 0, so a symmetric interval can (and for 12 of 28 vapes did) extend below zero. See column H.</t>
  </si>
  <si>
    <t xml:space="preserve">New method: Cochran ratio estimator, sessions as clusters</t>
  </si>
  <si>
    <t xml:space="preserve">For vape v with sessions j = 1..n:  x_j = delivered puffs (or delivered puff time), u_j = |counted - delivered|.</t>
  </si>
  <si>
    <t xml:space="preserve">Point estimate   R = Σ u_j / Σ x_j   (puff-weighted mean absolute relative error, WMAPE)</t>
  </si>
  <si>
    <t xml:space="preserve">Variance         v(R) = n * Σ (u_j - R*x_j)^2 / [ (n-1) * (Σ x_j)^2 ]</t>
  </si>
  <si>
    <t xml:space="preserve">95% CI           R ± t(0.975, n-1) * SQRT(v(R))</t>
  </si>
  <si>
    <t xml:space="preserve">This weights each session by its own size, makes no distributional assumption about within-session errors, and is robust to correlation of errors within a session. It is the standard survey-sampling variance for a ratio of totals (Cochran 1977, Sampling Techniques, 3rd ed., Sec. 6.3).</t>
  </si>
  <si>
    <t xml:space="preserve">Assumptions and limitations</t>
  </si>
  <si>
    <t xml:space="preserve">a) Sessions within a vape are treated as independent replicate clusters. If sessions were run back-to-back on one coil, this is optimistic (coil ageing induces between-session drift that is not exchangeable).</t>
  </si>
  <si>
    <t xml:space="preserve">b) n = 1 (Njoy Ace) admits no session-level variance estimate; K/N return "N/A (n=1)". A puff-level Wilson score interval on the detection rate (80/80 detected -&gt; 95.4%-100%) is the only alternative, but see (c).</t>
  </si>
  <si>
    <t xml:space="preserve">c) A puff-level binomial/Wilson interval is NOT recommended as the primary method. Comparing the cluster variance to the binomial variance gives design effects of roughly 3x to 60x on this data (e.g. Mr Fog Aura ~32x, Fogger Switch Pro ~59x). Puff detection failures arrive in bursts, so a binomial CI would be several-fold too narrow.</t>
  </si>
  <si>
    <t xml:space="preserve">d) A CI of exactly 0.00% means every session showed identical error (usually zero error at every puff). Report these as "no error observed" with a rule-of-three upper bound 3/N (N = total puffs), inflated by the design effect, rather than as a zero-width interval.</t>
  </si>
  <si>
    <t xml:space="preserve">e) |RE| is not scale-invariant across sessions of different length. If detection errors were independent across puffs, E|RE| would fall as 1/sqrt(session length); if errors are systematic, E|RE| is constant. In this dataset errors are dominated by systematic undercounting, so weighting by x_j is appropriate - but this should be stated, and the signed bias columns (K, Q) reported alongside as the Bland-Altman bias term.</t>
  </si>
  <si>
    <t xml:space="preserve">f) Across-vape pooling is a separate question. Do not average the 28 vape-level values as if they were 28 independent observations of one quantity; vapes differ systematically (see Juul 2, KangerTech SUBOX). Use a random-effects model, or report the distribution (median and range) of vape-level WMAPE.</t>
  </si>
  <si>
    <t xml:space="preserve">Other corrections applied to Data Summary</t>
  </si>
  <si>
    <t xml:space="preserve">- M19 (MR Fog Nova, puff time RE) referenced 'All Data'!M126:M136, which are Mr Fog Aura rows. Corrected to M137:M161 to match N19 and J19/K19.</t>
  </si>
  <si>
    <t xml:space="preserve">- M23, N23, M31, N31 referenced an external workbook ('[1]All Data'). Re-pointed to the local 'All Data' sheet; cached values matched, so results are unchanged.</t>
  </si>
  <si>
    <t xml:space="preserve">- Columns U:W added to Data Summary (n sessions, Σ delivered puffs, Σ delivered puff time) as explicit, auditable denominators.</t>
  </si>
  <si>
    <t xml:space="preserve">- Columns J and M now hold the puff-weighted point estimate, because a CI must belong to the same estimator as the point estimate it accompanies. Old values are preserved in columns F and M of this sheet.</t>
  </si>
  <si>
    <t xml:space="preserve">Puff Session</t>
  </si>
  <si>
    <t xml:space="preserve">Actual Puff Time (s)</t>
  </si>
  <si>
    <t xml:space="preserve">Recorded Puff Time (s)</t>
  </si>
  <si>
    <t xml:space="preserve">Puff Count RE (per session)</t>
  </si>
  <si>
    <t xml:space="preserve">Puff Time RE (per session)</t>
  </si>
  <si>
    <t xml:space="preserve">Overall</t>
  </si>
  <si>
    <t xml:space="preserve">-</t>
  </si>
  <si>
    <t xml:space="preserve">Nord 2</t>
  </si>
  <si>
    <t xml:space="preserve">Logic Pro</t>
  </si>
  <si>
    <t xml:space="preserve">Hyde REBEL</t>
  </si>
</sst>
</file>

<file path=xl/styles.xml><?xml version="1.0" encoding="utf-8"?>
<styleSheet xmlns="http://schemas.openxmlformats.org/spreadsheetml/2006/main">
  <numFmts count="5">
    <numFmt numFmtId="164" formatCode="General"/>
    <numFmt numFmtId="165" formatCode="0.00%"/>
    <numFmt numFmtId="166" formatCode="General"/>
    <numFmt numFmtId="167" formatCode="0"/>
    <numFmt numFmtId="168" formatCode="0.0000"/>
  </numFmts>
  <fonts count="10">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0"/>
      <name val="Arial"/>
      <family val="0"/>
      <charset val="1"/>
    </font>
    <font>
      <sz val="10"/>
      <name val="Arial"/>
      <family val="2"/>
      <charset val="1"/>
    </font>
    <font>
      <sz val="10"/>
      <name val="Arial"/>
      <family val="0"/>
      <charset val="1"/>
    </font>
    <font>
      <b val="true"/>
      <sz val="12"/>
      <name val="Arial"/>
      <family val="0"/>
      <charset val="1"/>
    </font>
    <font>
      <sz val="10"/>
      <name val="Arial"/>
      <family val="2"/>
    </font>
  </fonts>
  <fills count="10">
    <fill>
      <patternFill patternType="none"/>
    </fill>
    <fill>
      <patternFill patternType="gray125"/>
    </fill>
    <fill>
      <patternFill patternType="solid">
        <fgColor rgb="FFDDEBF7"/>
        <bgColor rgb="FFDAE3F3"/>
      </patternFill>
    </fill>
    <fill>
      <patternFill patternType="solid">
        <fgColor theme="8" tint="0.7999"/>
        <bgColor rgb="FFDDEBF7"/>
      </patternFill>
    </fill>
    <fill>
      <patternFill patternType="solid">
        <fgColor theme="7" tint="0.3999"/>
        <bgColor rgb="FFFFFF99"/>
      </patternFill>
    </fill>
    <fill>
      <patternFill patternType="solid">
        <fgColor rgb="FFFFFF00"/>
        <bgColor rgb="FFFFFF00"/>
      </patternFill>
    </fill>
    <fill>
      <patternFill patternType="solid">
        <fgColor rgb="FFFCE4D6"/>
        <bgColor rgb="FFE2EFDA"/>
      </patternFill>
    </fill>
    <fill>
      <patternFill patternType="solid">
        <fgColor rgb="FFE2EFDA"/>
        <bgColor rgb="FFDDEBF7"/>
      </patternFill>
    </fill>
    <fill>
      <patternFill patternType="solid">
        <fgColor theme="9" tint="0.3998"/>
        <bgColor rgb="FFC5E0B4"/>
      </patternFill>
    </fill>
    <fill>
      <patternFill patternType="solid">
        <fgColor theme="9" tint="0.5998"/>
        <bgColor rgb="FFA9D18E"/>
      </patternFill>
    </fill>
  </fills>
  <borders count="1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style="thin"/>
      <right/>
      <top/>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diagonal/>
    </border>
    <border diagonalUp="false" diagonalDown="false">
      <left style="thin"/>
      <right style="thin"/>
      <top/>
      <bottom style="thin"/>
      <diagonal/>
    </border>
    <border diagonalUp="false" diagonalDown="false">
      <left/>
      <right/>
      <top/>
      <bottom style="thin">
        <color rgb="FF999999"/>
      </bottom>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2"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center" vertical="bottom" textRotation="0" wrapText="true" indent="0" shrinkToFit="false"/>
      <protection locked="true" hidden="false"/>
    </xf>
    <xf numFmtId="164" fontId="0" fillId="0" borderId="4" xfId="0" applyFont="true" applyBorder="true" applyAlignment="true" applyProtection="false">
      <alignment horizontal="center" vertical="bottom" textRotation="0" wrapText="true" indent="0" shrinkToFit="false"/>
      <protection locked="true" hidden="false"/>
    </xf>
    <xf numFmtId="164" fontId="0" fillId="0" borderId="5" xfId="0" applyFont="true" applyBorder="true" applyAlignment="true" applyProtection="false">
      <alignment horizontal="center" vertical="bottom" textRotation="0" wrapText="true" indent="0" shrinkToFit="false"/>
      <protection locked="true" hidden="false"/>
    </xf>
    <xf numFmtId="164" fontId="0" fillId="0" borderId="2" xfId="0" applyFont="true" applyBorder="true" applyAlignment="true" applyProtection="false">
      <alignment horizontal="center" vertical="bottom" textRotation="0" wrapText="true" indent="0" shrinkToFit="false"/>
      <protection locked="true" hidden="false"/>
    </xf>
    <xf numFmtId="164" fontId="0" fillId="0" borderId="6" xfId="0" applyFont="true" applyBorder="true" applyAlignment="true" applyProtection="false">
      <alignment horizontal="center"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6" xfId="0" applyFont="true" applyBorder="true" applyAlignment="true" applyProtection="false">
      <alignment horizontal="general" vertical="bottom" textRotation="0" wrapText="tru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0" fillId="0" borderId="8"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9" xfId="0" applyFont="false" applyBorder="true" applyAlignment="true" applyProtection="false">
      <alignment horizontal="center" vertical="bottom" textRotation="0" wrapText="true" indent="0" shrinkToFit="false"/>
      <protection locked="true" hidden="false"/>
    </xf>
    <xf numFmtId="165" fontId="0" fillId="0" borderId="10" xfId="0" applyFont="false" applyBorder="true" applyAlignment="true" applyProtection="false">
      <alignment horizontal="center" vertical="bottom" textRotation="0" wrapText="true" indent="0" shrinkToFit="false"/>
      <protection locked="true" hidden="false"/>
    </xf>
    <xf numFmtId="165" fontId="6" fillId="0" borderId="10" xfId="0" applyFont="true" applyBorder="true" applyAlignment="true" applyProtection="false">
      <alignment horizontal="center" vertical="bottom" textRotation="0" wrapText="true" indent="0" shrinkToFit="false"/>
      <protection locked="true" hidden="false"/>
    </xf>
    <xf numFmtId="164" fontId="0" fillId="0" borderId="10" xfId="0" applyFont="false" applyBorder="true" applyAlignment="true" applyProtection="false">
      <alignment horizontal="center" vertical="bottom" textRotation="0" wrapText="true" indent="0" shrinkToFit="false"/>
      <protection locked="true" hidden="false"/>
    </xf>
    <xf numFmtId="165" fontId="6" fillId="0" borderId="11" xfId="0" applyFont="true" applyBorder="true" applyAlignment="true" applyProtection="false">
      <alignment horizontal="center" vertical="bottom" textRotation="0" wrapText="tru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center" vertical="center" textRotation="0" wrapText="true" indent="0" shrinkToFit="false"/>
      <protection locked="true" hidden="false"/>
    </xf>
    <xf numFmtId="164" fontId="0" fillId="0" borderId="11"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0" fillId="0" borderId="12" xfId="0" applyFont="true" applyBorder="true" applyAlignment="tru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true" indent="0" shrinkToFit="false"/>
      <protection locked="true" hidden="false"/>
    </xf>
    <xf numFmtId="165" fontId="0" fillId="0" borderId="0" xfId="0" applyFont="false" applyBorder="false" applyAlignment="true" applyProtection="false">
      <alignment horizontal="center" vertical="bottom" textRotation="0" wrapText="true" indent="0" shrinkToFit="false"/>
      <protection locked="true" hidden="false"/>
    </xf>
    <xf numFmtId="165" fontId="6" fillId="0" borderId="0" xfId="0" applyFont="true" applyBorder="false" applyAlignment="true" applyProtection="false">
      <alignment horizontal="center" vertical="bottom" textRotation="0" wrapText="true" indent="0" shrinkToFit="false"/>
      <protection locked="true" hidden="false"/>
    </xf>
    <xf numFmtId="165" fontId="6" fillId="0" borderId="13" xfId="0" applyFont="true" applyBorder="true" applyAlignment="true" applyProtection="false">
      <alignment horizontal="center" vertical="bottom" textRotation="0" wrapText="tru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0" fillId="5" borderId="12" xfId="0" applyFont="true" applyBorder="true" applyAlignment="true" applyProtection="false">
      <alignment horizontal="general" vertical="center" textRotation="0" wrapText="true" indent="0" shrinkToFit="false"/>
      <protection locked="true" hidden="false"/>
    </xf>
    <xf numFmtId="164" fontId="0" fillId="5" borderId="0" xfId="0" applyFont="false" applyBorder="fals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center" vertical="bottom" textRotation="0" wrapText="true" indent="0" shrinkToFit="false"/>
      <protection locked="true" hidden="false"/>
    </xf>
    <xf numFmtId="164" fontId="0" fillId="5" borderId="7" xfId="0" applyFont="false" applyBorder="true" applyAlignment="true" applyProtection="false">
      <alignment horizontal="center" vertical="center" textRotation="0" wrapText="true" indent="0" shrinkToFit="false"/>
      <protection locked="true" hidden="false"/>
    </xf>
    <xf numFmtId="165" fontId="0" fillId="5" borderId="0" xfId="0" applyFont="false" applyBorder="false" applyAlignment="true" applyProtection="false">
      <alignment horizontal="center" vertical="bottom" textRotation="0" wrapText="true" indent="0" shrinkToFit="false"/>
      <protection locked="true" hidden="false"/>
    </xf>
    <xf numFmtId="165" fontId="6" fillId="5" borderId="0" xfId="0" applyFont="true" applyBorder="false" applyAlignment="true" applyProtection="false">
      <alignment horizontal="center" vertical="bottom" textRotation="0" wrapText="true" indent="0" shrinkToFit="false"/>
      <protection locked="true" hidden="false"/>
    </xf>
    <xf numFmtId="165" fontId="6" fillId="5" borderId="13" xfId="0" applyFont="true" applyBorder="true" applyAlignment="true" applyProtection="false">
      <alignment horizontal="center" vertical="bottom" textRotation="0" wrapText="true" indent="0" shrinkToFit="false"/>
      <protection locked="true" hidden="false"/>
    </xf>
    <xf numFmtId="164" fontId="0" fillId="5" borderId="13" xfId="0" applyFont="true" applyBorder="true" applyAlignment="true" applyProtection="false">
      <alignment horizontal="center" vertical="bottom" textRotation="0" wrapText="true" indent="0" shrinkToFit="false"/>
      <protection locked="true" hidden="false"/>
    </xf>
    <xf numFmtId="164" fontId="0" fillId="3" borderId="12" xfId="0" applyFont="true" applyBorder="true" applyAlignment="true" applyProtection="false">
      <alignment horizontal="general"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true" indent="0" shrinkToFit="false"/>
      <protection locked="true" hidden="false"/>
    </xf>
    <xf numFmtId="164" fontId="0" fillId="3" borderId="7" xfId="0" applyFont="false" applyBorder="true" applyAlignment="true" applyProtection="false">
      <alignment horizontal="center" vertical="bottom" textRotation="0" wrapText="true" indent="0" shrinkToFit="false"/>
      <protection locked="true" hidden="false"/>
    </xf>
    <xf numFmtId="165" fontId="0" fillId="3" borderId="0" xfId="0" applyFont="false" applyBorder="false" applyAlignment="true" applyProtection="false">
      <alignment horizontal="center" vertical="bottom" textRotation="0" wrapText="true" indent="0" shrinkToFit="false"/>
      <protection locked="true" hidden="false"/>
    </xf>
    <xf numFmtId="165" fontId="6" fillId="3" borderId="0" xfId="0" applyFont="true" applyBorder="false" applyAlignment="true" applyProtection="false">
      <alignment horizontal="center" vertical="bottom" textRotation="0" wrapText="true" indent="0" shrinkToFit="false"/>
      <protection locked="true" hidden="false"/>
    </xf>
    <xf numFmtId="165" fontId="6" fillId="3" borderId="13" xfId="0" applyFont="true" applyBorder="true" applyAlignment="true" applyProtection="false">
      <alignment horizontal="center" vertical="bottom" textRotation="0" wrapText="true" indent="0" shrinkToFit="false"/>
      <protection locked="true" hidden="false"/>
    </xf>
    <xf numFmtId="164" fontId="0" fillId="3" borderId="7" xfId="0" applyFont="true" applyBorder="true" applyAlignment="true" applyProtection="false">
      <alignment horizontal="center" vertical="center" textRotation="0" wrapText="true" indent="0" shrinkToFit="false"/>
      <protection locked="true" hidden="false"/>
    </xf>
    <xf numFmtId="164" fontId="0" fillId="3" borderId="0" xfId="0" applyFont="true" applyBorder="false" applyAlignment="true" applyProtection="false">
      <alignment horizontal="center" vertical="center" textRotation="0" wrapText="true" indent="0" shrinkToFit="false"/>
      <protection locked="true" hidden="false"/>
    </xf>
    <xf numFmtId="164" fontId="0" fillId="3" borderId="13" xfId="0" applyFont="true" applyBorder="tru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13" xfId="0" applyFont="true" applyBorder="true" applyAlignment="true" applyProtection="false">
      <alignment horizontal="center"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center" vertical="center" textRotation="0" wrapText="true" indent="0" shrinkToFit="false"/>
      <protection locked="true" hidden="false"/>
    </xf>
    <xf numFmtId="165" fontId="0" fillId="0" borderId="4" xfId="0" applyFont="false" applyBorder="true" applyAlignment="true" applyProtection="false">
      <alignment horizontal="center" vertical="bottom" textRotation="0" wrapText="true" indent="0" shrinkToFit="false"/>
      <protection locked="true" hidden="false"/>
    </xf>
    <xf numFmtId="165" fontId="6" fillId="0" borderId="4" xfId="0" applyFont="true" applyBorder="true" applyAlignment="true" applyProtection="false">
      <alignment horizontal="center" vertical="bottom" textRotation="0" wrapText="true" indent="0" shrinkToFit="false"/>
      <protection locked="true" hidden="false"/>
    </xf>
    <xf numFmtId="165" fontId="6" fillId="0" borderId="5" xfId="0" applyFont="true" applyBorder="true" applyAlignment="true" applyProtection="false">
      <alignment horizontal="center" vertical="bottom" textRotation="0" wrapText="tru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0" fillId="0" borderId="5" xfId="0" applyFont="true" applyBorder="true" applyAlignment="true" applyProtection="false">
      <alignment horizontal="center" vertical="bottom" textRotation="0" wrapText="false" indent="0" shrinkToFit="false"/>
      <protection locked="true" hidden="false"/>
    </xf>
    <xf numFmtId="164" fontId="0" fillId="3" borderId="8" xfId="0" applyFont="true" applyBorder="true" applyAlignment="true" applyProtection="false">
      <alignment horizontal="general" vertical="center" textRotation="0" wrapText="true" indent="0" shrinkToFit="false"/>
      <protection locked="true" hidden="false"/>
    </xf>
    <xf numFmtId="164" fontId="0" fillId="3" borderId="10" xfId="0" applyFont="false" applyBorder="true" applyAlignment="true" applyProtection="false">
      <alignment horizontal="center" vertical="bottom" textRotation="0" wrapText="true" indent="0" shrinkToFit="false"/>
      <protection locked="true" hidden="false"/>
    </xf>
    <xf numFmtId="164" fontId="0" fillId="3" borderId="10" xfId="0" applyFont="false" applyBorder="true" applyAlignment="true" applyProtection="false">
      <alignment horizontal="center" vertical="center" textRotation="0" wrapText="true" indent="0" shrinkToFit="false"/>
      <protection locked="true" hidden="false"/>
    </xf>
    <xf numFmtId="164" fontId="0" fillId="3" borderId="9" xfId="0" applyFont="false" applyBorder="true" applyAlignment="true" applyProtection="false">
      <alignment horizontal="center" vertical="bottom" textRotation="0" wrapText="true" indent="0" shrinkToFit="false"/>
      <protection locked="true" hidden="false"/>
    </xf>
    <xf numFmtId="165" fontId="0" fillId="3" borderId="10" xfId="0" applyFont="false" applyBorder="true" applyAlignment="true" applyProtection="false">
      <alignment horizontal="center" vertical="bottom" textRotation="0" wrapText="true" indent="0" shrinkToFit="false"/>
      <protection locked="true" hidden="false"/>
    </xf>
    <xf numFmtId="165" fontId="6" fillId="3" borderId="10" xfId="0" applyFont="true" applyBorder="true" applyAlignment="true" applyProtection="false">
      <alignment horizontal="center" vertical="bottom" textRotation="0" wrapText="true" indent="0" shrinkToFit="false"/>
      <protection locked="true" hidden="false"/>
    </xf>
    <xf numFmtId="165" fontId="6" fillId="3" borderId="11" xfId="0" applyFont="true" applyBorder="true" applyAlignment="true" applyProtection="false">
      <alignment horizontal="center" vertical="bottom" textRotation="0" wrapText="true" indent="0" shrinkToFit="false"/>
      <protection locked="true" hidden="false"/>
    </xf>
    <xf numFmtId="164" fontId="0" fillId="3" borderId="9" xfId="0" applyFont="tru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center" vertical="center" textRotation="0" wrapText="false" indent="0" shrinkToFit="false"/>
      <protection locked="true" hidden="false"/>
    </xf>
    <xf numFmtId="164" fontId="0" fillId="0" borderId="11" xfId="0" applyFont="fals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xf numFmtId="165" fontId="0" fillId="0" borderId="10" xfId="0" applyFont="false" applyBorder="true" applyAlignment="true" applyProtection="false">
      <alignment horizontal="center" vertical="center" textRotation="0" wrapText="true" indent="0" shrinkToFit="false"/>
      <protection locked="true" hidden="false"/>
    </xf>
    <xf numFmtId="165" fontId="6" fillId="0" borderId="10" xfId="0" applyFont="true" applyBorder="true" applyAlignment="true" applyProtection="false">
      <alignment horizontal="center" vertical="center" textRotation="0" wrapText="true" indent="0" shrinkToFit="false"/>
      <protection locked="true" hidden="false"/>
    </xf>
    <xf numFmtId="164" fontId="0" fillId="0" borderId="11" xfId="0" applyFont="true" applyBorder="true" applyAlignment="true" applyProtection="false">
      <alignment horizontal="center" vertical="bottom" textRotation="0" wrapText="false" indent="0"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4" fontId="0" fillId="0" borderId="13" xfId="0" applyFont="false" applyBorder="tru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center" vertical="center" textRotation="0" wrapText="true" indent="0" shrinkToFit="false"/>
      <protection locked="true" hidden="false"/>
    </xf>
    <xf numFmtId="165" fontId="6" fillId="0" borderId="0" xfId="0" applyFont="true" applyBorder="fals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center" vertical="center" textRotation="0" wrapText="true" indent="0" shrinkToFit="false"/>
      <protection locked="true" hidden="false"/>
    </xf>
    <xf numFmtId="165" fontId="0" fillId="0" borderId="4" xfId="0" applyFont="false" applyBorder="true" applyAlignment="true" applyProtection="false">
      <alignment horizontal="center" vertical="center" textRotation="0" wrapText="true" indent="0" shrinkToFit="false"/>
      <protection locked="true" hidden="false"/>
    </xf>
    <xf numFmtId="165" fontId="6" fillId="0" borderId="4" xfId="0" applyFont="true" applyBorder="true" applyAlignment="true" applyProtection="false">
      <alignment horizontal="center" vertical="center" textRotation="0" wrapText="tru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2" borderId="15" xfId="0" applyFont="true" applyBorder="true" applyAlignment="true" applyProtection="false">
      <alignment horizontal="general" vertical="center" textRotation="0" wrapText="true" indent="0" shrinkToFit="false"/>
      <protection locked="true" hidden="false"/>
    </xf>
    <xf numFmtId="164" fontId="5" fillId="6" borderId="15" xfId="0" applyFont="true" applyBorder="true" applyAlignment="true" applyProtection="false">
      <alignment horizontal="general" vertical="center" textRotation="0" wrapText="true" indent="0" shrinkToFit="false"/>
      <protection locked="true" hidden="false"/>
    </xf>
    <xf numFmtId="164" fontId="5" fillId="7" borderId="15" xfId="0" applyFont="true" applyBorder="true" applyAlignment="true" applyProtection="false">
      <alignment horizontal="general" vertical="center" textRotation="0" wrapText="tru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8" xfId="0" applyFont="true" applyBorder="true" applyAlignment="true" applyProtection="false">
      <alignment horizontal="general" vertical="bottom" textRotation="0" wrapText="false" indent="0" shrinkToFit="false"/>
      <protection locked="true" hidden="false"/>
    </xf>
    <xf numFmtId="164" fontId="4" fillId="0" borderId="9" xfId="0" applyFont="true" applyBorder="true" applyAlignment="tru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64" fontId="0" fillId="0" borderId="10" xfId="0" applyFont="fals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0" fillId="0" borderId="16" xfId="0" applyFont="fals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4" fontId="4" fillId="8" borderId="4" xfId="0" applyFont="true" applyBorder="true" applyAlignment="true" applyProtection="false">
      <alignment horizontal="right" vertical="bottom" textRotation="0" wrapText="false" indent="0" shrinkToFit="false"/>
      <protection locked="true" hidden="false"/>
    </xf>
    <xf numFmtId="166" fontId="0" fillId="9" borderId="3" xfId="0" applyFont="false" applyBorder="true" applyAlignment="true" applyProtection="false">
      <alignment horizontal="center" vertical="bottom" textRotation="0" wrapText="false" indent="0" shrinkToFit="false"/>
      <protection locked="true" hidden="false"/>
    </xf>
    <xf numFmtId="164" fontId="0" fillId="9" borderId="4" xfId="0" applyFont="true" applyBorder="tru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8" fontId="0" fillId="9" borderId="4" xfId="0" applyFont="false" applyBorder="true" applyAlignment="true" applyProtection="false">
      <alignment horizontal="center"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4" fillId="9" borderId="4" xfId="0" applyFont="true" applyBorder="true" applyAlignment="true" applyProtection="false">
      <alignment horizontal="right" vertical="bottom" textRotation="0" wrapText="false" indent="0" shrinkToFit="false"/>
      <protection locked="true" hidden="false"/>
    </xf>
    <xf numFmtId="164" fontId="0" fillId="0" borderId="13"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CE4D6"/>
      <rgbColor rgb="FFDDEBF7"/>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5E0B4"/>
      <rgbColor rgb="FFE2EFDA"/>
      <rgbColor rgb="FFFFFF99"/>
      <rgbColor rgb="FF99CCFF"/>
      <rgbColor rgb="FFFF99CC"/>
      <rgbColor rgb="FFCC99FF"/>
      <rgbColor rgb="FFFFD96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7"/>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M34" activeCellId="0" sqref="M34"/>
    </sheetView>
  </sheetViews>
  <sheetFormatPr defaultColWidth="8.71484375" defaultRowHeight="15" zeroHeight="false" outlineLevelRow="0" outlineLevelCol="0"/>
  <cols>
    <col collapsed="false" customWidth="true" hidden="false" outlineLevel="0" max="2" min="2" style="1" width="24.14"/>
    <col collapsed="false" customWidth="true" hidden="false" outlineLevel="0" max="3" min="3" style="1" width="8.57"/>
    <col collapsed="false" customWidth="true" hidden="false" outlineLevel="0" max="4" min="4" style="1" width="5.71"/>
    <col collapsed="false" customWidth="true" hidden="false" outlineLevel="0" max="5" min="5" style="1" width="10.57"/>
    <col collapsed="false" customWidth="true" hidden="false" outlineLevel="0" max="6" min="6" style="1" width="8.42"/>
    <col collapsed="false" customWidth="true" hidden="false" outlineLevel="0" max="7" min="7" style="1" width="8.15"/>
    <col collapsed="false" customWidth="true" hidden="false" outlineLevel="0" max="8" min="8" style="1" width="7.86"/>
    <col collapsed="false" customWidth="true" hidden="false" outlineLevel="0" max="9" min="9" style="1" width="10"/>
    <col collapsed="false" customWidth="true" hidden="false" outlineLevel="0" max="10" min="10" style="1" width="9.86"/>
    <col collapsed="false" customWidth="true" hidden="false" outlineLevel="0" max="11" min="11" style="1" width="12.57"/>
    <col collapsed="false" customWidth="true" hidden="false" outlineLevel="0" max="12" min="12" style="1" width="13.42"/>
    <col collapsed="false" customWidth="true" hidden="false" outlineLevel="0" max="13" min="13" style="1" width="15.85"/>
    <col collapsed="false" customWidth="true" hidden="false" outlineLevel="0" max="14" min="14" style="1" width="14"/>
    <col collapsed="false" customWidth="true" hidden="false" outlineLevel="0" max="15" min="15" style="1" width="14.14"/>
    <col collapsed="false" customWidth="true" hidden="false" outlineLevel="0" max="16" min="16" style="1" width="12.15"/>
    <col collapsed="false" customWidth="true" hidden="false" outlineLevel="0" max="17" min="17" style="1" width="29.86"/>
    <col collapsed="false" customWidth="true" hidden="false" outlineLevel="0" max="18" min="18" style="1" width="27.86"/>
    <col collapsed="false" customWidth="true" hidden="false" outlineLevel="0" max="19" min="19" style="1" width="20.42"/>
    <col collapsed="false" customWidth="true" hidden="false" outlineLevel="0" max="23" min="21" style="1" width="14"/>
  </cols>
  <sheetData>
    <row r="1" customFormat="false" ht="19.5" hidden="false" customHeight="true" outlineLevel="0" collapsed="false">
      <c r="A1" s="2"/>
      <c r="B1" s="2"/>
      <c r="C1" s="3" t="s">
        <v>0</v>
      </c>
      <c r="D1" s="3"/>
      <c r="E1" s="3"/>
      <c r="F1" s="3"/>
      <c r="G1" s="3"/>
      <c r="H1" s="3"/>
      <c r="I1" s="3" t="s">
        <v>1</v>
      </c>
      <c r="J1" s="3"/>
      <c r="K1" s="3"/>
      <c r="L1" s="3"/>
      <c r="M1" s="3"/>
      <c r="N1" s="3"/>
      <c r="O1" s="4" t="s">
        <v>2</v>
      </c>
      <c r="P1" s="4"/>
      <c r="Q1" s="4"/>
    </row>
    <row r="2" customFormat="false" ht="29.25" hidden="false" customHeight="true" outlineLevel="0" collapsed="false">
      <c r="A2" s="2"/>
      <c r="B2" s="5" t="s">
        <v>3</v>
      </c>
      <c r="C2" s="6" t="s">
        <v>4</v>
      </c>
      <c r="D2" s="7" t="s">
        <v>5</v>
      </c>
      <c r="E2" s="7" t="s">
        <v>6</v>
      </c>
      <c r="F2" s="7" t="s">
        <v>7</v>
      </c>
      <c r="G2" s="7" t="s">
        <v>8</v>
      </c>
      <c r="H2" s="8" t="s">
        <v>9</v>
      </c>
      <c r="I2" s="9" t="s">
        <v>10</v>
      </c>
      <c r="J2" s="10" t="s">
        <v>11</v>
      </c>
      <c r="K2" s="10" t="s">
        <v>12</v>
      </c>
      <c r="L2" s="10" t="s">
        <v>6</v>
      </c>
      <c r="M2" s="10" t="s">
        <v>13</v>
      </c>
      <c r="N2" s="10" t="s">
        <v>14</v>
      </c>
      <c r="O2" s="11" t="s">
        <v>15</v>
      </c>
      <c r="P2" s="12" t="s">
        <v>16</v>
      </c>
      <c r="Q2" s="10" t="s">
        <v>17</v>
      </c>
      <c r="R2" s="13"/>
      <c r="U2" s="14" t="s">
        <v>18</v>
      </c>
      <c r="V2" s="14" t="s">
        <v>19</v>
      </c>
      <c r="W2" s="14" t="s">
        <v>20</v>
      </c>
    </row>
    <row r="3" customFormat="false" ht="15" hidden="false" customHeight="true" outlineLevel="0" collapsed="false">
      <c r="A3" s="2" t="n">
        <v>1</v>
      </c>
      <c r="B3" s="15" t="s">
        <v>21</v>
      </c>
      <c r="C3" s="16" t="n">
        <v>440</v>
      </c>
      <c r="D3" s="16" t="n">
        <v>3</v>
      </c>
      <c r="E3" s="16" t="n">
        <f aca="false">C3*D3</f>
        <v>1320</v>
      </c>
      <c r="F3" s="17" t="n">
        <v>18</v>
      </c>
      <c r="G3" s="17" t="n">
        <v>120</v>
      </c>
      <c r="H3" s="17" t="n">
        <v>40</v>
      </c>
      <c r="I3" s="18" t="n">
        <v>440</v>
      </c>
      <c r="J3" s="19" t="n">
        <f aca="false">SUMPRODUCT(ABS('All Data'!J64:J74-'All Data'!D64:D74))/$V3</f>
        <v>0</v>
      </c>
      <c r="K3" s="20" t="n">
        <f aca="false">IF($U3&lt;2,"N/A (n=1)",TINV(0.05,$U3-1)*SQRT($U3*SUMPRODUCT((ABS('All Data'!J64:J74-'All Data'!D64:D74)-$J3*'All Data'!D64:D74)^2)/(($U3-1)*$V3^2)))</f>
        <v>0</v>
      </c>
      <c r="L3" s="21" t="n">
        <v>1437.6144</v>
      </c>
      <c r="M3" s="19" t="n">
        <f aca="false">SUMPRODUCT(ABS('All Data'!K64:K74-'All Data'!F64:F74))/$W3</f>
        <v>0.0891018181818182</v>
      </c>
      <c r="N3" s="22" t="n">
        <f aca="false">IF($U3&lt;2,"N/A (n=1)",TINV(0.05,$U3-1)*SQRT($U3*SUMPRODUCT((ABS('All Data'!K64:K74-'All Data'!F64:F74)-$M3*'All Data'!F64:F74)^2)/(($U3-1)*$W3^2)))</f>
        <v>0.00552380474533138</v>
      </c>
      <c r="O3" s="23" t="s">
        <v>22</v>
      </c>
      <c r="P3" s="24" t="s">
        <v>23</v>
      </c>
      <c r="Q3" s="25" t="s">
        <v>24</v>
      </c>
      <c r="R3" s="26"/>
      <c r="S3" s="27" t="s">
        <v>25</v>
      </c>
      <c r="U3" s="28" t="n">
        <f aca="false">COUNT('All Data'!D64:D74)</f>
        <v>11</v>
      </c>
      <c r="V3" s="28" t="n">
        <f aca="false">SUM('All Data'!D64:D74)</f>
        <v>440</v>
      </c>
      <c r="W3" s="28" t="n">
        <f aca="false">SUM('All Data'!F64:F74)</f>
        <v>1320</v>
      </c>
    </row>
    <row r="4" customFormat="false" ht="15" hidden="false" customHeight="true" outlineLevel="0" collapsed="false">
      <c r="A4" s="2" t="n">
        <v>2</v>
      </c>
      <c r="B4" s="29" t="s">
        <v>26</v>
      </c>
      <c r="C4" s="16" t="n">
        <v>433</v>
      </c>
      <c r="D4" s="16" t="n">
        <v>3</v>
      </c>
      <c r="E4" s="16" t="n">
        <f aca="false">C4*D4</f>
        <v>1299</v>
      </c>
      <c r="F4" s="17" t="n">
        <v>18</v>
      </c>
      <c r="G4" s="17" t="n">
        <v>120</v>
      </c>
      <c r="H4" s="17" t="n">
        <v>40</v>
      </c>
      <c r="I4" s="30" t="n">
        <v>403</v>
      </c>
      <c r="J4" s="31" t="n">
        <f aca="false">SUMPRODUCT(ABS('All Data'!J76:J82-'All Data'!D76:D82))/$V4</f>
        <v>0.069284064665127</v>
      </c>
      <c r="K4" s="32" t="n">
        <f aca="false">IF($U4&lt;2,"N/A (n=1)",TINV(0.05,$U4-1)*SQRT($U4*SUMPRODUCT((ABS('All Data'!J76:J82-'All Data'!D76:D82)-$J4*'All Data'!D76:D82)^2)/(($U4-1)*$V4^2)))</f>
        <v>0.0995122953318648</v>
      </c>
      <c r="L4" s="16" t="n">
        <v>1311.6472</v>
      </c>
      <c r="M4" s="31" t="n">
        <f aca="false">SUMPRODUCT(ABS('All Data'!K76:K82-'All Data'!F76:F82))/$W4</f>
        <v>0.0919630484988453</v>
      </c>
      <c r="N4" s="33" t="n">
        <f aca="false">IF($U4&lt;2,"N/A (n=1)",TINV(0.05,$U4-1)*SQRT($U4*SUMPRODUCT((ABS('All Data'!K76:K82-'All Data'!F76:F82)-$M4*'All Data'!F76:F82)^2)/(($U4-1)*$W4^2)))</f>
        <v>0.101063215484419</v>
      </c>
      <c r="O4" s="34" t="s">
        <v>22</v>
      </c>
      <c r="P4" s="35" t="s">
        <v>23</v>
      </c>
      <c r="Q4" s="36" t="s">
        <v>24</v>
      </c>
      <c r="R4" s="26"/>
      <c r="S4" s="37" t="s">
        <v>27</v>
      </c>
      <c r="U4" s="28" t="n">
        <f aca="false">COUNT('All Data'!D76:D82)</f>
        <v>7</v>
      </c>
      <c r="V4" s="28" t="n">
        <f aca="false">SUM('All Data'!D76:D82)</f>
        <v>433</v>
      </c>
      <c r="W4" s="28" t="n">
        <f aca="false">SUM('All Data'!F76:F82)</f>
        <v>1299</v>
      </c>
    </row>
    <row r="5" customFormat="false" ht="14.25" hidden="false" customHeight="true" outlineLevel="0" collapsed="false">
      <c r="A5" s="2" t="n">
        <v>3</v>
      </c>
      <c r="B5" s="38" t="s">
        <v>28</v>
      </c>
      <c r="C5" s="39" t="n">
        <v>400</v>
      </c>
      <c r="D5" s="40" t="n">
        <v>3</v>
      </c>
      <c r="E5" s="39" t="n">
        <f aca="false">C5*D5</f>
        <v>1200</v>
      </c>
      <c r="F5" s="39" t="n">
        <v>18</v>
      </c>
      <c r="G5" s="39" t="n">
        <v>120</v>
      </c>
      <c r="H5" s="39" t="n">
        <v>40</v>
      </c>
      <c r="I5" s="41" t="n">
        <v>397</v>
      </c>
      <c r="J5" s="42" t="n">
        <f aca="false">SUMPRODUCT(ABS('All Data'!J39:J43-'All Data'!D39:D43))/$V5</f>
        <v>0.0075</v>
      </c>
      <c r="K5" s="43" t="n">
        <f aca="false">IF($U5&lt;2,"N/A (n=1)",TINV(0.05,$U5-1)*SQRT($U5*SUMPRODUCT((ABS('All Data'!J39:J43-'All Data'!D39:D43)-$J5*'All Data'!D39:D43)^2)/(($U5-1)*$V5^2)))</f>
        <v>0.0208233382889835</v>
      </c>
      <c r="L5" s="39" t="n">
        <v>1241.0303</v>
      </c>
      <c r="M5" s="42" t="n">
        <f aca="false">SUMPRODUCT(ABS('All Data'!K39:K43-'All Data'!F39:F43))/$W5</f>
        <v>0.0341919166666667</v>
      </c>
      <c r="N5" s="44" t="n">
        <f aca="false">IF($U5&lt;2,"N/A (n=1)",TINV(0.05,$U5-1)*SQRT($U5*SUMPRODUCT((ABS('All Data'!K39:K43-'All Data'!F39:F43)-$M5*'All Data'!F39:F43)^2)/(($U5-1)*$W5^2)))</f>
        <v>0.0137344792741612</v>
      </c>
      <c r="O5" s="41" t="s">
        <v>22</v>
      </c>
      <c r="P5" s="39" t="s">
        <v>22</v>
      </c>
      <c r="Q5" s="45" t="s">
        <v>29</v>
      </c>
      <c r="R5" s="26"/>
      <c r="T5" s="1" t="s">
        <v>30</v>
      </c>
      <c r="U5" s="28" t="n">
        <f aca="false">COUNT('All Data'!D39:D43)</f>
        <v>5</v>
      </c>
      <c r="V5" s="28" t="n">
        <f aca="false">SUM('All Data'!D39:D43)</f>
        <v>400</v>
      </c>
      <c r="W5" s="28" t="n">
        <f aca="false">SUM('All Data'!F39:F43)</f>
        <v>1200</v>
      </c>
    </row>
    <row r="6" customFormat="false" ht="14.25" hidden="false" customHeight="true" outlineLevel="0" collapsed="false">
      <c r="A6" s="2" t="n">
        <v>4</v>
      </c>
      <c r="B6" s="29" t="s">
        <v>31</v>
      </c>
      <c r="C6" s="16" t="n">
        <v>450</v>
      </c>
      <c r="D6" s="16" t="n">
        <v>3</v>
      </c>
      <c r="E6" s="16" t="n">
        <f aca="false">C6*D6</f>
        <v>1350</v>
      </c>
      <c r="F6" s="17" t="n">
        <v>18</v>
      </c>
      <c r="G6" s="17" t="n">
        <v>120</v>
      </c>
      <c r="H6" s="17" t="n">
        <v>40</v>
      </c>
      <c r="I6" s="30" t="n">
        <v>446</v>
      </c>
      <c r="J6" s="31" t="n">
        <f aca="false">SUMPRODUCT(ABS('All Data'!J84:J88-'All Data'!D84:D88))/$V6</f>
        <v>0.00888888888888889</v>
      </c>
      <c r="K6" s="32" t="n">
        <f aca="false">IF($U6&lt;2,"N/A (n=1)",TINV(0.05,$U6-1)*SQRT($U6*SUMPRODUCT((ABS('All Data'!J84:J88-'All Data'!D84:D88)-$J6*'All Data'!D84:D88)^2)/(($U6-1)*$V6^2)))</f>
        <v>0.0130415244383474</v>
      </c>
      <c r="L6" s="16" t="n">
        <v>1358.2995</v>
      </c>
      <c r="M6" s="31" t="n">
        <f aca="false">SUMPRODUCT(ABS('All Data'!K84:K88-'All Data'!F84:F88))/$W6</f>
        <v>0.0129411111111111</v>
      </c>
      <c r="N6" s="33" t="n">
        <f aca="false">IF($U6&lt;2,"N/A (n=1)",TINV(0.05,$U6-1)*SQRT($U6*SUMPRODUCT((ABS('All Data'!K84:K88-'All Data'!F84:F88)-$M6*'All Data'!F84:F88)^2)/(($U6-1)*$W6^2)))</f>
        <v>0.00805531141335001</v>
      </c>
      <c r="O6" s="34" t="s">
        <v>22</v>
      </c>
      <c r="P6" s="35" t="s">
        <v>22</v>
      </c>
      <c r="Q6" s="36" t="s">
        <v>24</v>
      </c>
      <c r="R6" s="26"/>
      <c r="U6" s="28" t="n">
        <f aca="false">COUNT('All Data'!D84:D88)</f>
        <v>5</v>
      </c>
      <c r="V6" s="28" t="n">
        <f aca="false">SUM('All Data'!D84:D88)</f>
        <v>450</v>
      </c>
      <c r="W6" s="28" t="n">
        <f aca="false">SUM('All Data'!F84:F88)</f>
        <v>1350</v>
      </c>
    </row>
    <row r="7" customFormat="false" ht="14.25" hidden="false" customHeight="true" outlineLevel="0" collapsed="false">
      <c r="A7" s="2" t="n">
        <v>5</v>
      </c>
      <c r="B7" s="46" t="s">
        <v>32</v>
      </c>
      <c r="C7" s="47" t="n">
        <v>448</v>
      </c>
      <c r="D7" s="47" t="n">
        <v>3</v>
      </c>
      <c r="E7" s="47" t="n">
        <v>1344</v>
      </c>
      <c r="F7" s="47" t="n">
        <v>18</v>
      </c>
      <c r="G7" s="47" t="n">
        <v>120</v>
      </c>
      <c r="H7" s="47" t="n">
        <v>40</v>
      </c>
      <c r="I7" s="48" t="n">
        <v>448</v>
      </c>
      <c r="J7" s="49" t="n">
        <f aca="false">SUMPRODUCT(ABS('All Data'!J3:J8-'All Data'!D3:D8))/$V7</f>
        <v>0</v>
      </c>
      <c r="K7" s="50" t="n">
        <f aca="false">IF($U7&lt;2,"N/A (n=1)",TINV(0.05,$U7-1)*SQRT($U7*SUMPRODUCT((ABS('All Data'!J3:J8-'All Data'!D3:D8)-$J7*'All Data'!D3:D8)^2)/(($U7-1)*$V7^2)))</f>
        <v>0</v>
      </c>
      <c r="L7" s="47" t="n">
        <v>1380.2581</v>
      </c>
      <c r="M7" s="49" t="n">
        <f aca="false">SUMPRODUCT(ABS('All Data'!K3:K8-'All Data'!F3:F8))/$W7</f>
        <v>0.0288432291666667</v>
      </c>
      <c r="N7" s="51" t="n">
        <f aca="false">IF($U7&lt;2,"N/A (n=1)",TINV(0.05,$U7-1)*SQRT($U7*SUMPRODUCT((ABS('All Data'!K3:K8-'All Data'!F3:F8)-$M7*'All Data'!F3:F8)^2)/(($U7-1)*$W7^2)))</f>
        <v>0.0158499245447311</v>
      </c>
      <c r="O7" s="52" t="s">
        <v>22</v>
      </c>
      <c r="P7" s="53" t="s">
        <v>22</v>
      </c>
      <c r="Q7" s="54" t="s">
        <v>24</v>
      </c>
      <c r="R7" s="26"/>
      <c r="U7" s="28" t="n">
        <f aca="false">COUNT('All Data'!D3:D8)</f>
        <v>6</v>
      </c>
      <c r="V7" s="28" t="n">
        <f aca="false">SUM('All Data'!D3:D8)</f>
        <v>448</v>
      </c>
      <c r="W7" s="28" t="n">
        <f aca="false">SUM('All Data'!F3:F8)</f>
        <v>1344</v>
      </c>
    </row>
    <row r="8" customFormat="false" ht="14.25" hidden="false" customHeight="true" outlineLevel="0" collapsed="false">
      <c r="A8" s="2" t="n">
        <v>6</v>
      </c>
      <c r="B8" s="46" t="s">
        <v>33</v>
      </c>
      <c r="C8" s="53" t="n">
        <v>560</v>
      </c>
      <c r="D8" s="47" t="n">
        <v>3</v>
      </c>
      <c r="E8" s="53" t="n">
        <v>1680</v>
      </c>
      <c r="F8" s="47" t="n">
        <v>18</v>
      </c>
      <c r="G8" s="47" t="n">
        <v>120</v>
      </c>
      <c r="H8" s="47" t="n">
        <v>40</v>
      </c>
      <c r="I8" s="52" t="n">
        <v>558</v>
      </c>
      <c r="J8" s="49" t="n">
        <f aca="false">SUMPRODUCT(ABS('All Data'!J31:J37-'All Data'!D31:D37))/$V8</f>
        <v>0.00714285714285714</v>
      </c>
      <c r="K8" s="50" t="n">
        <f aca="false">IF($U8&lt;2,"N/A (n=1)",TINV(0.05,$U8-1)*SQRT($U8*SUMPRODUCT((ABS('All Data'!J31:J37-'All Data'!D31:D37)-$J8*'All Data'!D31:D37)^2)/(($U8-1)*$V8^2)))</f>
        <v>0.0131084563454195</v>
      </c>
      <c r="L8" s="53" t="n">
        <v>1794.0507</v>
      </c>
      <c r="M8" s="49" t="n">
        <f aca="false">SUMPRODUCT(ABS('All Data'!K31:K37-'All Data'!F31:F37))/$W8</f>
        <v>0.0678873214285714</v>
      </c>
      <c r="N8" s="51" t="n">
        <f aca="false">IF($U8&lt;2,"N/A (n=1)",TINV(0.05,$U8-1)*SQRT($U8*SUMPRODUCT((ABS('All Data'!K31:K37-'All Data'!F31:F37)-$M8*'All Data'!F31:F37)^2)/(($U8-1)*$W8^2)))</f>
        <v>0.024107140045673</v>
      </c>
      <c r="O8" s="52" t="s">
        <v>22</v>
      </c>
      <c r="P8" s="53" t="s">
        <v>22</v>
      </c>
      <c r="Q8" s="54" t="s">
        <v>24</v>
      </c>
      <c r="R8" s="26"/>
      <c r="U8" s="28" t="n">
        <f aca="false">COUNT('All Data'!D31:D37)</f>
        <v>7</v>
      </c>
      <c r="V8" s="28" t="n">
        <f aca="false">SUM('All Data'!D31:D37)</f>
        <v>560</v>
      </c>
      <c r="W8" s="28" t="n">
        <f aca="false">SUM('All Data'!F31:F37)</f>
        <v>1680</v>
      </c>
    </row>
    <row r="9" customFormat="false" ht="14.25" hidden="false" customHeight="true" outlineLevel="0" collapsed="false">
      <c r="A9" s="2" t="n">
        <v>7</v>
      </c>
      <c r="B9" s="29" t="s">
        <v>34</v>
      </c>
      <c r="C9" s="16" t="n">
        <v>530</v>
      </c>
      <c r="D9" s="16" t="n">
        <v>3</v>
      </c>
      <c r="E9" s="16" t="n">
        <f aca="false">C9*D9</f>
        <v>1590</v>
      </c>
      <c r="F9" s="17" t="n">
        <v>18</v>
      </c>
      <c r="G9" s="17" t="n">
        <v>120</v>
      </c>
      <c r="H9" s="17" t="n">
        <v>40</v>
      </c>
      <c r="I9" s="30" t="n">
        <v>490</v>
      </c>
      <c r="J9" s="31" t="n">
        <f aca="false">SUMPRODUCT(ABS('All Data'!J90:J94-'All Data'!D90:D94))/$V9</f>
        <v>0.0754716981132075</v>
      </c>
      <c r="K9" s="32" t="n">
        <f aca="false">IF($U9&lt;2,"N/A (n=1)",TINV(0.05,$U9-1)*SQRT($U9*SUMPRODUCT((ABS('All Data'!J90:J94-'All Data'!D90:D94)-$J9*'All Data'!D90:D94)^2)/(($U9-1)*$V9^2)))</f>
        <v>0.125207171226746</v>
      </c>
      <c r="L9" s="16" t="n">
        <v>1582.4889</v>
      </c>
      <c r="M9" s="31" t="n">
        <f aca="false">SUMPRODUCT(ABS('All Data'!K90:K94-'All Data'!F90:F94))/$W9</f>
        <v>0.0686160377358491</v>
      </c>
      <c r="N9" s="33" t="n">
        <f aca="false">IF($U9&lt;2,"N/A (n=1)",TINV(0.05,$U9-1)*SQRT($U9*SUMPRODUCT((ABS('All Data'!K90:K94-'All Data'!F90:F94)-$M9*'All Data'!F90:F94)^2)/(($U9-1)*$W9^2)))</f>
        <v>0.0762691018678056</v>
      </c>
      <c r="O9" s="34" t="s">
        <v>22</v>
      </c>
      <c r="P9" s="35" t="s">
        <v>22</v>
      </c>
      <c r="Q9" s="36" t="s">
        <v>24</v>
      </c>
      <c r="R9" s="26"/>
      <c r="U9" s="28" t="n">
        <f aca="false">COUNT('All Data'!D90:D94)</f>
        <v>5</v>
      </c>
      <c r="V9" s="28" t="n">
        <f aca="false">SUM('All Data'!D90:D94)</f>
        <v>530</v>
      </c>
      <c r="W9" s="28" t="n">
        <f aca="false">SUM('All Data'!F90:F94)</f>
        <v>1590</v>
      </c>
    </row>
    <row r="10" customFormat="false" ht="14.25" hidden="false" customHeight="true" outlineLevel="0" collapsed="false">
      <c r="A10" s="2" t="n">
        <v>8</v>
      </c>
      <c r="B10" s="46" t="s">
        <v>35</v>
      </c>
      <c r="C10" s="47" t="n">
        <v>400</v>
      </c>
      <c r="D10" s="47" t="n">
        <v>3</v>
      </c>
      <c r="E10" s="47" t="n">
        <v>1200</v>
      </c>
      <c r="F10" s="47" t="n">
        <v>18</v>
      </c>
      <c r="G10" s="47" t="n">
        <v>120</v>
      </c>
      <c r="H10" s="47" t="n">
        <v>40</v>
      </c>
      <c r="I10" s="48" t="n">
        <v>403</v>
      </c>
      <c r="J10" s="49" t="n">
        <f aca="false">SUMPRODUCT(ABS('All Data'!J10:J14-'All Data'!D10:D14))/$V10</f>
        <v>0.0075</v>
      </c>
      <c r="K10" s="50" t="n">
        <f aca="false">IF($U10&lt;2,"N/A (n=1)",TINV(0.05,$U10-1)*SQRT($U10*SUMPRODUCT((ABS('All Data'!J10:J14-'All Data'!D10:D14)-$J10*'All Data'!D10:D14)^2)/(($U10-1)*$V10^2)))</f>
        <v>0.013882225525989</v>
      </c>
      <c r="L10" s="47" t="n">
        <v>1252.7102</v>
      </c>
      <c r="M10" s="49" t="n">
        <f aca="false">SUMPRODUCT(ABS('All Data'!K10:K14-'All Data'!F10:F14))/$W10</f>
        <v>0.0439251666666667</v>
      </c>
      <c r="N10" s="51" t="n">
        <f aca="false">IF($U10&lt;2,"N/A (n=1)",TINV(0.05,$U10-1)*SQRT($U10*SUMPRODUCT((ABS('All Data'!K10:K14-'All Data'!F10:F14)-$M10*'All Data'!F10:F14)^2)/(($U10-1)*$W10^2)))</f>
        <v>0.00720252255210707</v>
      </c>
      <c r="O10" s="52" t="s">
        <v>22</v>
      </c>
      <c r="P10" s="53" t="s">
        <v>22</v>
      </c>
      <c r="Q10" s="54" t="s">
        <v>24</v>
      </c>
      <c r="R10" s="26"/>
      <c r="U10" s="28" t="n">
        <f aca="false">COUNT('All Data'!D10:D14)</f>
        <v>5</v>
      </c>
      <c r="V10" s="28" t="n">
        <f aca="false">SUM('All Data'!D10:D14)</f>
        <v>400</v>
      </c>
      <c r="W10" s="28" t="n">
        <f aca="false">SUM('All Data'!F10:F14)</f>
        <v>1200</v>
      </c>
    </row>
    <row r="11" customFormat="false" ht="14.25" hidden="false" customHeight="true" outlineLevel="0" collapsed="false">
      <c r="A11" s="2" t="n">
        <v>9</v>
      </c>
      <c r="B11" s="29" t="s">
        <v>36</v>
      </c>
      <c r="C11" s="16" t="n">
        <v>536</v>
      </c>
      <c r="D11" s="16" t="n">
        <v>3</v>
      </c>
      <c r="E11" s="16" t="n">
        <f aca="false">C11*D11</f>
        <v>1608</v>
      </c>
      <c r="F11" s="17" t="n">
        <v>18</v>
      </c>
      <c r="G11" s="17" t="n">
        <v>120</v>
      </c>
      <c r="H11" s="17" t="n">
        <v>40</v>
      </c>
      <c r="I11" s="30" t="n">
        <v>505</v>
      </c>
      <c r="J11" s="31" t="n">
        <f aca="false">SUMPRODUCT(ABS('All Data'!J96:J103-'All Data'!D96:D103))/$V11</f>
        <v>0.0615671641791045</v>
      </c>
      <c r="K11" s="32" t="n">
        <f aca="false">IF($U11&lt;2,"N/A (n=1)",TINV(0.05,$U11-1)*SQRT($U11*SUMPRODUCT((ABS('All Data'!J96:J103-'All Data'!D96:D103)-$J11*'All Data'!D96:D103)^2)/(($U11-1)*$V11^2)))</f>
        <v>0.0570057726926347</v>
      </c>
      <c r="L11" s="16" t="n">
        <v>1450.9639</v>
      </c>
      <c r="M11" s="31" t="n">
        <f aca="false">SUMPRODUCT(ABS('All Data'!K96:K103-'All Data'!F96:F103))/$W11</f>
        <v>0.114886878109453</v>
      </c>
      <c r="N11" s="33" t="n">
        <f aca="false">IF($U11&lt;2,"N/A (n=1)",TINV(0.05,$U11-1)*SQRT($U11*SUMPRODUCT((ABS('All Data'!K96:K103-'All Data'!F96:F103)-$M11*'All Data'!F96:F103)^2)/(($U11-1)*$W11^2)))</f>
        <v>0.0704298898864802</v>
      </c>
      <c r="O11" s="34" t="s">
        <v>22</v>
      </c>
      <c r="P11" s="55" t="s">
        <v>22</v>
      </c>
      <c r="Q11" s="56" t="s">
        <v>24</v>
      </c>
      <c r="R11" s="26"/>
      <c r="U11" s="28" t="n">
        <f aca="false">COUNT('All Data'!D96:D103)</f>
        <v>8</v>
      </c>
      <c r="V11" s="28" t="n">
        <f aca="false">SUM('All Data'!D96:D103)</f>
        <v>536</v>
      </c>
      <c r="W11" s="28" t="n">
        <f aca="false">SUM('All Data'!F96:F103)</f>
        <v>1608</v>
      </c>
    </row>
    <row r="12" customFormat="false" ht="14.25" hidden="false" customHeight="true" outlineLevel="0" collapsed="false">
      <c r="A12" s="2" t="n">
        <v>10</v>
      </c>
      <c r="B12" s="29" t="s">
        <v>37</v>
      </c>
      <c r="C12" s="16" t="n">
        <v>240</v>
      </c>
      <c r="D12" s="16" t="n">
        <v>3</v>
      </c>
      <c r="E12" s="16" t="n">
        <f aca="false">C12*D12</f>
        <v>720</v>
      </c>
      <c r="F12" s="17" t="n">
        <v>18</v>
      </c>
      <c r="G12" s="17" t="n">
        <v>120</v>
      </c>
      <c r="H12" s="17" t="n">
        <v>40</v>
      </c>
      <c r="I12" s="30" t="n">
        <v>236</v>
      </c>
      <c r="J12" s="31" t="n">
        <f aca="false">SUMPRODUCT(ABS('All Data'!J105:J107-'All Data'!D105:D107))/$V12</f>
        <v>0.0166666666666667</v>
      </c>
      <c r="K12" s="32" t="n">
        <f aca="false">IF($U12&lt;2,"N/A (n=1)",TINV(0.05,$U12-1)*SQRT($U12*SUMPRODUCT((ABS('All Data'!J105:J107-'All Data'!D105:D107)-$J12*'All Data'!D105:D107)^2)/(($U12-1)*$V12^2)))</f>
        <v>0.0717108788291577</v>
      </c>
      <c r="L12" s="16" t="n">
        <v>762.3135</v>
      </c>
      <c r="M12" s="31" t="n">
        <f aca="false">SUMPRODUCT(ABS('All Data'!K105:K107-'All Data'!F105:F107))/$W12</f>
        <v>0.0895648611111111</v>
      </c>
      <c r="N12" s="33" t="n">
        <f aca="false">IF($U12&lt;2,"N/A (n=1)",TINV(0.05,$U12-1)*SQRT($U12*SUMPRODUCT((ABS('All Data'!K105:K107-'All Data'!F105:F107)-$M12*'All Data'!F105:F107)^2)/(($U12-1)*$W12^2)))</f>
        <v>0.093785673326712</v>
      </c>
      <c r="O12" s="34" t="s">
        <v>22</v>
      </c>
      <c r="P12" s="35" t="s">
        <v>22</v>
      </c>
      <c r="Q12" s="36" t="s">
        <v>24</v>
      </c>
      <c r="R12" s="26"/>
      <c r="U12" s="28" t="n">
        <f aca="false">COUNT('All Data'!D105:D107)</f>
        <v>3</v>
      </c>
      <c r="V12" s="28" t="n">
        <f aca="false">SUM('All Data'!D105:D107)</f>
        <v>240</v>
      </c>
      <c r="W12" s="28" t="n">
        <f aca="false">SUM('All Data'!F105:F107)</f>
        <v>720</v>
      </c>
    </row>
    <row r="13" customFormat="false" ht="14.25" hidden="false" customHeight="true" outlineLevel="0" collapsed="false">
      <c r="A13" s="2" t="n">
        <v>11</v>
      </c>
      <c r="B13" s="57" t="s">
        <v>38</v>
      </c>
      <c r="C13" s="7" t="n">
        <v>275</v>
      </c>
      <c r="D13" s="7" t="n">
        <v>3</v>
      </c>
      <c r="E13" s="7" t="n">
        <f aca="false">C13*D13</f>
        <v>825</v>
      </c>
      <c r="F13" s="58" t="n">
        <v>18</v>
      </c>
      <c r="G13" s="58" t="n">
        <v>120</v>
      </c>
      <c r="H13" s="58" t="n">
        <v>40</v>
      </c>
      <c r="I13" s="6" t="n">
        <v>271</v>
      </c>
      <c r="J13" s="59" t="n">
        <f aca="false">SUMPRODUCT(ABS('All Data'!J109:J113-'All Data'!D109:D113))/$V13</f>
        <v>0.0218181818181818</v>
      </c>
      <c r="K13" s="60" t="n">
        <f aca="false">IF($U13&lt;2,"N/A (n=1)",TINV(0.05,$U13-1)*SQRT($U13*SUMPRODUCT((ABS('All Data'!J109:J113-'All Data'!D109:D113)-$J13*'All Data'!D109:D113)^2)/(($U13-1)*$V13^2)))</f>
        <v>0.0285960618032345</v>
      </c>
      <c r="L13" s="7" t="n">
        <v>855.3565</v>
      </c>
      <c r="M13" s="59" t="n">
        <f aca="false">SUMPRODUCT(ABS('All Data'!K109:K113-'All Data'!F109:F113))/$W13</f>
        <v>0.0367957575757576</v>
      </c>
      <c r="N13" s="61" t="n">
        <f aca="false">IF($U13&lt;2,"N/A (n=1)",TINV(0.05,$U13-1)*SQRT($U13*SUMPRODUCT((ABS('All Data'!K109:K113-'All Data'!F109:F113)-$M13*'All Data'!F109:F113)^2)/(($U13-1)*$W13^2)))</f>
        <v>0.0296778783247831</v>
      </c>
      <c r="O13" s="62" t="s">
        <v>22</v>
      </c>
      <c r="P13" s="63" t="s">
        <v>22</v>
      </c>
      <c r="Q13" s="64" t="s">
        <v>24</v>
      </c>
      <c r="R13" s="26"/>
      <c r="U13" s="28" t="n">
        <f aca="false">COUNT('All Data'!D109:D113)</f>
        <v>5</v>
      </c>
      <c r="V13" s="28" t="n">
        <f aca="false">SUM('All Data'!D109:D113)</f>
        <v>275</v>
      </c>
      <c r="W13" s="28" t="n">
        <f aca="false">SUM('All Data'!F109:F113)</f>
        <v>825</v>
      </c>
    </row>
    <row r="14" customFormat="false" ht="15" hidden="false" customHeight="true" outlineLevel="0" collapsed="false">
      <c r="A14" s="2" t="n">
        <v>12</v>
      </c>
      <c r="B14" s="65" t="s">
        <v>39</v>
      </c>
      <c r="C14" s="66" t="n">
        <v>185</v>
      </c>
      <c r="D14" s="66" t="n">
        <v>3</v>
      </c>
      <c r="E14" s="66" t="n">
        <v>555</v>
      </c>
      <c r="F14" s="67" t="n">
        <v>18</v>
      </c>
      <c r="G14" s="67" t="n">
        <v>120</v>
      </c>
      <c r="H14" s="67" t="n">
        <v>40</v>
      </c>
      <c r="I14" s="68" t="n">
        <v>185</v>
      </c>
      <c r="J14" s="69" t="n">
        <f aca="false">SUMPRODUCT(ABS('All Data'!J54:J56-'All Data'!D54:D56))/$V14</f>
        <v>0</v>
      </c>
      <c r="K14" s="70" t="n">
        <f aca="false">IF($U14&lt;2,"N/A (n=1)",TINV(0.05,$U14-1)*SQRT($U14*SUMPRODUCT((ABS('All Data'!J54:J56-'All Data'!D54:D56)-$J14*'All Data'!D54:D56)^2)/(($U14-1)*$V14^2)))</f>
        <v>0</v>
      </c>
      <c r="L14" s="66" t="n">
        <v>550.9164</v>
      </c>
      <c r="M14" s="69" t="n">
        <f aca="false">SUMPRODUCT(ABS('All Data'!K54:K56-'All Data'!F54:F56))/$W14</f>
        <v>0.00735783783783782</v>
      </c>
      <c r="N14" s="71" t="n">
        <f aca="false">IF($U14&lt;2,"N/A (n=1)",TINV(0.05,$U14-1)*SQRT($U14*SUMPRODUCT((ABS('All Data'!K54:K56-'All Data'!F54:F56)-$M14*'All Data'!F54:F56)^2)/(($U14-1)*$W14^2)))</f>
        <v>0.0171349670825952</v>
      </c>
      <c r="O14" s="72" t="s">
        <v>23</v>
      </c>
      <c r="P14" s="67" t="s">
        <v>23</v>
      </c>
      <c r="Q14" s="54" t="s">
        <v>40</v>
      </c>
      <c r="U14" s="28" t="n">
        <f aca="false">COUNT('All Data'!D54:D56)</f>
        <v>3</v>
      </c>
      <c r="V14" s="28" t="n">
        <f aca="false">SUM('All Data'!D54:D56)</f>
        <v>185</v>
      </c>
      <c r="W14" s="28" t="n">
        <f aca="false">SUM('All Data'!F54:F56)</f>
        <v>555</v>
      </c>
    </row>
    <row r="15" customFormat="false" ht="15" hidden="false" customHeight="true" outlineLevel="0" collapsed="false">
      <c r="A15" s="2" t="n">
        <v>13</v>
      </c>
      <c r="B15" s="29" t="s">
        <v>41</v>
      </c>
      <c r="C15" s="55" t="n">
        <v>360</v>
      </c>
      <c r="D15" s="16" t="n">
        <v>3</v>
      </c>
      <c r="E15" s="16" t="n">
        <f aca="false">C15*D15</f>
        <v>1080</v>
      </c>
      <c r="F15" s="17" t="n">
        <v>18</v>
      </c>
      <c r="G15" s="17" t="n">
        <v>120</v>
      </c>
      <c r="H15" s="17" t="n">
        <v>40</v>
      </c>
      <c r="I15" s="34" t="n">
        <v>357</v>
      </c>
      <c r="J15" s="31" t="n">
        <f aca="false">SUMPRODUCT(ABS('All Data'!J115:J123-'All Data'!D115:D123))/$V15</f>
        <v>0.0138888888888889</v>
      </c>
      <c r="K15" s="32" t="n">
        <f aca="false">IF($U15&lt;2,"N/A (n=1)",TINV(0.05,$U15-1)*SQRT($U15*SUMPRODUCT((ABS('All Data'!J115:J123-'All Data'!D115:D123)-$J15*'All Data'!D115:D123)^2)/(($U15-1)*$V15^2)))</f>
        <v>0.0256222681689352</v>
      </c>
      <c r="L15" s="16" t="n">
        <v>1062.3376</v>
      </c>
      <c r="M15" s="31" t="n">
        <f aca="false">SUMPRODUCT(ABS('All Data'!K115:K123-'All Data'!F115:F123))/$W15</f>
        <v>0.0330459259259259</v>
      </c>
      <c r="N15" s="33" t="n">
        <f aca="false">IF($U15&lt;2,"N/A (n=1)",TINV(0.05,$U15-1)*SQRT($U15*SUMPRODUCT((ABS('All Data'!K115:K123-'All Data'!F115:F123)-$M15*'All Data'!F115:F123)^2)/(($U15-1)*$W15^2)))</f>
        <v>0.0352062404424255</v>
      </c>
      <c r="O15" s="34" t="s">
        <v>22</v>
      </c>
      <c r="P15" s="35" t="s">
        <v>23</v>
      </c>
      <c r="Q15" s="36" t="s">
        <v>24</v>
      </c>
      <c r="U15" s="28" t="n">
        <f aca="false">COUNT('All Data'!D115:D123)</f>
        <v>9</v>
      </c>
      <c r="V15" s="28" t="n">
        <f aca="false">SUM('All Data'!D115:D123)</f>
        <v>360</v>
      </c>
      <c r="W15" s="28" t="n">
        <f aca="false">SUM('All Data'!F115:F123)</f>
        <v>1080</v>
      </c>
    </row>
    <row r="16" customFormat="false" ht="15" hidden="false" customHeight="true" outlineLevel="0" collapsed="false">
      <c r="A16" s="2" t="n">
        <v>15</v>
      </c>
      <c r="B16" s="46" t="s">
        <v>42</v>
      </c>
      <c r="C16" s="47" t="n">
        <v>480</v>
      </c>
      <c r="D16" s="47" t="n">
        <v>3</v>
      </c>
      <c r="E16" s="47" t="n">
        <v>1440</v>
      </c>
      <c r="F16" s="53" t="n">
        <v>18</v>
      </c>
      <c r="G16" s="53" t="n">
        <v>120</v>
      </c>
      <c r="H16" s="53" t="n">
        <v>40</v>
      </c>
      <c r="I16" s="48" t="n">
        <v>480</v>
      </c>
      <c r="J16" s="49" t="n">
        <f aca="false">SUMPRODUCT(ABS('All Data'!J47:J52-'All Data'!D47:D52))/$V16</f>
        <v>0</v>
      </c>
      <c r="K16" s="50" t="n">
        <f aca="false">IF($U16&lt;2,"N/A (n=1)",TINV(0.05,$U16-1)*SQRT($U16*SUMPRODUCT((ABS('All Data'!J47:J52-'All Data'!D47:D52)-$J16*'All Data'!D47:D52)^2)/(($U16-1)*$V16^2)))</f>
        <v>0</v>
      </c>
      <c r="L16" s="47" t="n">
        <v>1481.2303</v>
      </c>
      <c r="M16" s="49" t="n">
        <f aca="false">SUMPRODUCT(ABS('All Data'!K47:K52-'All Data'!F47:F52))/$W16</f>
        <v>0.0286321527777778</v>
      </c>
      <c r="N16" s="51" t="n">
        <f aca="false">IF($U16&lt;2,"N/A (n=1)",TINV(0.05,$U16-1)*SQRT($U16*SUMPRODUCT((ABS('All Data'!K47:K52-'All Data'!F47:F52)-$M16*'All Data'!F47:F52)^2)/(($U16-1)*$W16^2)))</f>
        <v>0.00148213025713506</v>
      </c>
      <c r="O16" s="52" t="s">
        <v>22</v>
      </c>
      <c r="P16" s="53" t="s">
        <v>23</v>
      </c>
      <c r="Q16" s="54" t="s">
        <v>43</v>
      </c>
      <c r="U16" s="28" t="n">
        <f aca="false">COUNT('All Data'!D47:D52)</f>
        <v>6</v>
      </c>
      <c r="V16" s="28" t="n">
        <f aca="false">SUM('All Data'!D47:D52)</f>
        <v>480</v>
      </c>
      <c r="W16" s="28" t="n">
        <f aca="false">SUM('All Data'!F47:F52)</f>
        <v>1440</v>
      </c>
    </row>
    <row r="17" customFormat="false" ht="15" hidden="false" customHeight="true" outlineLevel="0" collapsed="false">
      <c r="A17" s="2" t="n">
        <v>16</v>
      </c>
      <c r="B17" s="46" t="s">
        <v>44</v>
      </c>
      <c r="C17" s="47" t="n">
        <v>455</v>
      </c>
      <c r="D17" s="47" t="n">
        <v>3</v>
      </c>
      <c r="E17" s="47" t="n">
        <v>1365</v>
      </c>
      <c r="F17" s="47" t="n">
        <v>18</v>
      </c>
      <c r="G17" s="47" t="n">
        <v>120</v>
      </c>
      <c r="H17" s="47" t="n">
        <v>40</v>
      </c>
      <c r="I17" s="48" t="n">
        <v>449</v>
      </c>
      <c r="J17" s="49" t="n">
        <f aca="false">SUMPRODUCT(ABS('All Data'!J24:J29-'All Data'!D24:D29))/$V17</f>
        <v>0.0263736263736264</v>
      </c>
      <c r="K17" s="50" t="n">
        <f aca="false">IF($U17&lt;2,"N/A (n=1)",TINV(0.05,$U17-1)*SQRT($U17*SUMPRODUCT((ABS('All Data'!J24:J29-'All Data'!D24:D29)-$J17*'All Data'!D24:D29)^2)/(($U17-1)*$V17^2)))</f>
        <v>0.0156105024651211</v>
      </c>
      <c r="L17" s="47" t="n">
        <v>1395.8214</v>
      </c>
      <c r="M17" s="49" t="n">
        <f aca="false">SUMPRODUCT(ABS('All Data'!K24:K29-'All Data'!F24:F29))/$W17</f>
        <v>0.0258575824175824</v>
      </c>
      <c r="N17" s="51" t="n">
        <f aca="false">IF($U17&lt;2,"N/A (n=1)",TINV(0.05,$U17-1)*SQRT($U17*SUMPRODUCT((ABS('All Data'!K24:K29-'All Data'!F24:F29)-$M17*'All Data'!F24:F29)^2)/(($U17-1)*$W17^2)))</f>
        <v>0.0210064550073599</v>
      </c>
      <c r="O17" s="52" t="s">
        <v>22</v>
      </c>
      <c r="P17" s="53" t="s">
        <v>22</v>
      </c>
      <c r="Q17" s="54" t="s">
        <v>24</v>
      </c>
      <c r="U17" s="28" t="n">
        <f aca="false">COUNT('All Data'!D24:D29)</f>
        <v>6</v>
      </c>
      <c r="V17" s="28" t="n">
        <f aca="false">SUM('All Data'!D24:D29)</f>
        <v>455</v>
      </c>
      <c r="W17" s="28" t="n">
        <f aca="false">SUM('All Data'!F24:F29)</f>
        <v>1365</v>
      </c>
    </row>
    <row r="18" customFormat="false" ht="15" hidden="false" customHeight="true" outlineLevel="0" collapsed="false">
      <c r="A18" s="2" t="n">
        <v>17</v>
      </c>
      <c r="B18" s="29" t="s">
        <v>45</v>
      </c>
      <c r="C18" s="55" t="n">
        <v>1049</v>
      </c>
      <c r="D18" s="16" t="n">
        <v>3</v>
      </c>
      <c r="E18" s="16" t="n">
        <f aca="false">C18*D18</f>
        <v>3147</v>
      </c>
      <c r="F18" s="17" t="n">
        <v>18</v>
      </c>
      <c r="G18" s="17" t="n">
        <v>120</v>
      </c>
      <c r="H18" s="17" t="n">
        <v>40</v>
      </c>
      <c r="I18" s="34" t="n">
        <v>1013</v>
      </c>
      <c r="J18" s="31" t="n">
        <f aca="false">SUMPRODUCT(ABS('All Data'!J125:J135-'All Data'!D125:D135))/$V18</f>
        <v>0.0533841754051478</v>
      </c>
      <c r="K18" s="32" t="n">
        <f aca="false">IF($U18&lt;2,"N/A (n=1)",TINV(0.05,$U18-1)*SQRT($U18*SUMPRODUCT((ABS('All Data'!J125:J135-'All Data'!D125:D135)-$J18*'All Data'!D125:D135)^2)/(($U18-1)*$V18^2)))</f>
        <v>0.0674459334028973</v>
      </c>
      <c r="L18" s="16" t="n">
        <v>3210.8442</v>
      </c>
      <c r="M18" s="31" t="n">
        <f aca="false">SUMPRODUCT(ABS('All Data'!K125:K135-'All Data'!F125:F135))/$W18</f>
        <v>0.108056816015253</v>
      </c>
      <c r="N18" s="33" t="n">
        <f aca="false">IF($U18&lt;2,"N/A (n=1)",TINV(0.05,$U18-1)*SQRT($U18*SUMPRODUCT((ABS('All Data'!K125:K135-'All Data'!F125:F135)-$M18*'All Data'!F125:F135)^2)/(($U18-1)*$W18^2)))</f>
        <v>0.0659203906514077</v>
      </c>
      <c r="O18" s="34" t="s">
        <v>22</v>
      </c>
      <c r="P18" s="35" t="s">
        <v>22</v>
      </c>
      <c r="Q18" s="36" t="s">
        <v>24</v>
      </c>
      <c r="U18" s="28" t="n">
        <f aca="false">COUNT('All Data'!D125:D135)</f>
        <v>11</v>
      </c>
      <c r="V18" s="28" t="n">
        <f aca="false">SUM('All Data'!D125:D135)</f>
        <v>1049</v>
      </c>
      <c r="W18" s="28" t="n">
        <f aca="false">SUM('All Data'!F125:F135)</f>
        <v>3147</v>
      </c>
    </row>
    <row r="19" customFormat="false" ht="15" hidden="false" customHeight="true" outlineLevel="0" collapsed="false">
      <c r="A19" s="2" t="n">
        <v>18</v>
      </c>
      <c r="B19" s="29" t="s">
        <v>46</v>
      </c>
      <c r="C19" s="55" t="n">
        <v>1000</v>
      </c>
      <c r="D19" s="16" t="n">
        <v>3</v>
      </c>
      <c r="E19" s="16" t="n">
        <f aca="false">C19*D19</f>
        <v>3000</v>
      </c>
      <c r="F19" s="17" t="n">
        <v>18</v>
      </c>
      <c r="G19" s="17" t="n">
        <v>120</v>
      </c>
      <c r="H19" s="17" t="n">
        <v>40</v>
      </c>
      <c r="I19" s="34" t="n">
        <v>1004</v>
      </c>
      <c r="J19" s="31" t="n">
        <f aca="false">SUMPRODUCT(ABS('All Data'!J137:J161-'All Data'!D137:D161))/$V19</f>
        <v>0.006</v>
      </c>
      <c r="K19" s="32" t="n">
        <f aca="false">IF($U19&lt;2,"N/A (n=1)",TINV(0.05,$U19-1)*SQRT($U19*SUMPRODUCT((ABS('All Data'!J137:J161-'All Data'!D137:D161)-$J19*'All Data'!D137:D161)^2)/(($U19-1)*$V19^2)))</f>
        <v>0.00539516401017769</v>
      </c>
      <c r="L19" s="16" t="n">
        <v>3249.2353</v>
      </c>
      <c r="M19" s="31" t="n">
        <f aca="false">SUMPRODUCT(ABS('All Data'!K137:K161-'All Data'!F137:F161))/$W19</f>
        <v>0.0830784333333333</v>
      </c>
      <c r="N19" s="33" t="n">
        <f aca="false">IF($U19&lt;2,"N/A (n=1)",TINV(0.05,$U19-1)*SQRT($U19*SUMPRODUCT((ABS('All Data'!K137:K161-'All Data'!F137:F161)-$M19*'All Data'!F137:F161)^2)/(($U19-1)*$W19^2)))</f>
        <v>0.0081238308972334</v>
      </c>
      <c r="O19" s="34" t="s">
        <v>22</v>
      </c>
      <c r="P19" s="35" t="s">
        <v>22</v>
      </c>
      <c r="Q19" s="36" t="s">
        <v>24</v>
      </c>
      <c r="U19" s="28" t="n">
        <f aca="false">COUNT('All Data'!D137:D161)</f>
        <v>25</v>
      </c>
      <c r="V19" s="28" t="n">
        <f aca="false">SUM('All Data'!D137:D161)</f>
        <v>1000</v>
      </c>
      <c r="W19" s="28" t="n">
        <f aca="false">SUM('All Data'!F137:F161)</f>
        <v>3000</v>
      </c>
    </row>
    <row r="20" customFormat="false" ht="15" hidden="false" customHeight="true" outlineLevel="0" collapsed="false">
      <c r="A20" s="2" t="n">
        <v>19</v>
      </c>
      <c r="B20" s="46" t="s">
        <v>47</v>
      </c>
      <c r="C20" s="47" t="n">
        <v>80</v>
      </c>
      <c r="D20" s="47" t="n">
        <v>3</v>
      </c>
      <c r="E20" s="47" t="n">
        <v>240</v>
      </c>
      <c r="F20" s="53" t="n">
        <v>18</v>
      </c>
      <c r="G20" s="53" t="n">
        <v>120</v>
      </c>
      <c r="H20" s="53" t="n">
        <v>40</v>
      </c>
      <c r="I20" s="48" t="n">
        <v>80</v>
      </c>
      <c r="J20" s="49" t="n">
        <f aca="false">SUMPRODUCT(ABS('All Data'!J58:J58-'All Data'!D58:D58))/$V20</f>
        <v>0</v>
      </c>
      <c r="K20" s="50" t="str">
        <f aca="false">IF($U20&lt;2,"N/A (n=1)",TINV(0.05,$U20-1)*SQRT($U20*SUMPRODUCT((ABS('All Data'!J58:J58-'All Data'!D58:D58)-$J20*'All Data'!D58:D58)^2)/(($U20-1)*$V20^2)))</f>
        <v>N/A (n=1)</v>
      </c>
      <c r="L20" s="47" t="n">
        <v>285.3583</v>
      </c>
      <c r="M20" s="49" t="n">
        <f aca="false">SUMPRODUCT(ABS('All Data'!K58:K58-'All Data'!F58:F58))/$W20</f>
        <v>0.188992916666667</v>
      </c>
      <c r="N20" s="51" t="str">
        <f aca="false">IF($U20&lt;2,"N/A (n=1)",TINV(0.05,$U20-1)*SQRT($U20*SUMPRODUCT((ABS('All Data'!K58:K58-'All Data'!F58:F58)-$M20*'All Data'!F58:F58)^2)/(($U20-1)*$W20^2)))</f>
        <v>N/A (n=1)</v>
      </c>
      <c r="O20" s="52" t="s">
        <v>23</v>
      </c>
      <c r="P20" s="53" t="s">
        <v>23</v>
      </c>
      <c r="Q20" s="54" t="s">
        <v>40</v>
      </c>
      <c r="U20" s="28" t="n">
        <f aca="false">COUNT('All Data'!D58:D58)</f>
        <v>1</v>
      </c>
      <c r="V20" s="28" t="n">
        <f aca="false">SUM('All Data'!D58:D58)</f>
        <v>80</v>
      </c>
      <c r="W20" s="28" t="n">
        <f aca="false">SUM('All Data'!F58:F58)</f>
        <v>240</v>
      </c>
    </row>
    <row r="21" customFormat="false" ht="15" hidden="false" customHeight="true" outlineLevel="0" collapsed="false">
      <c r="A21" s="2" t="n">
        <v>21</v>
      </c>
      <c r="B21" s="29" t="s">
        <v>48</v>
      </c>
      <c r="C21" s="55" t="n">
        <v>240</v>
      </c>
      <c r="D21" s="16" t="n">
        <v>3</v>
      </c>
      <c r="E21" s="16" t="n">
        <f aca="false">C21*D21</f>
        <v>720</v>
      </c>
      <c r="F21" s="17" t="n">
        <v>18</v>
      </c>
      <c r="G21" s="17" t="n">
        <v>120</v>
      </c>
      <c r="H21" s="17" t="n">
        <v>40</v>
      </c>
      <c r="I21" s="34" t="n">
        <v>240</v>
      </c>
      <c r="J21" s="31" t="n">
        <f aca="false">SUMPRODUCT(ABS('All Data'!J163:J168-'All Data'!D163:D168))/$V21</f>
        <v>0</v>
      </c>
      <c r="K21" s="32" t="n">
        <f aca="false">IF($U21&lt;2,"N/A (n=1)",TINV(0.05,$U21-1)*SQRT($U21*SUMPRODUCT((ABS('All Data'!J163:J168-'All Data'!D163:D168)-$J21*'All Data'!D163:D168)^2)/(($U21-1)*$V21^2)))</f>
        <v>0</v>
      </c>
      <c r="L21" s="35" t="n">
        <v>772.4195</v>
      </c>
      <c r="M21" s="31" t="n">
        <f aca="false">SUMPRODUCT(ABS('All Data'!K163:K168-'All Data'!F163:F168))/$W21</f>
        <v>0.0728048611111111</v>
      </c>
      <c r="N21" s="33" t="n">
        <f aca="false">IF($U21&lt;2,"N/A (n=1)",TINV(0.05,$U21-1)*SQRT($U21*SUMPRODUCT((ABS('All Data'!K163:K168-'All Data'!F163:F168)-$M21*'All Data'!F163:F168)^2)/(($U21-1)*$W21^2)))</f>
        <v>0.00685260757516621</v>
      </c>
      <c r="O21" s="34" t="s">
        <v>22</v>
      </c>
      <c r="P21" s="35" t="s">
        <v>23</v>
      </c>
      <c r="Q21" s="36" t="s">
        <v>24</v>
      </c>
      <c r="U21" s="28" t="n">
        <f aca="false">COUNT('All Data'!D163:D168)</f>
        <v>6</v>
      </c>
      <c r="V21" s="28" t="n">
        <f aca="false">SUM('All Data'!D163:D168)</f>
        <v>240</v>
      </c>
      <c r="W21" s="28" t="n">
        <f aca="false">SUM('All Data'!F163:F168)</f>
        <v>720</v>
      </c>
    </row>
    <row r="22" customFormat="false" ht="15" hidden="false" customHeight="true" outlineLevel="0" collapsed="false">
      <c r="A22" s="2" t="n">
        <v>22</v>
      </c>
      <c r="B22" s="29" t="s">
        <v>49</v>
      </c>
      <c r="C22" s="55" t="n">
        <v>600</v>
      </c>
      <c r="D22" s="16" t="n">
        <v>3</v>
      </c>
      <c r="E22" s="16" t="n">
        <f aca="false">C22*D22</f>
        <v>1800</v>
      </c>
      <c r="F22" s="17" t="n">
        <v>18</v>
      </c>
      <c r="G22" s="17" t="n">
        <v>120</v>
      </c>
      <c r="H22" s="17" t="n">
        <v>40</v>
      </c>
      <c r="I22" s="34" t="n">
        <v>604</v>
      </c>
      <c r="J22" s="31" t="n">
        <f aca="false">SUMPRODUCT(ABS('All Data'!J170:J184-'All Data'!D170:D184))/$V22</f>
        <v>0.00666666666666667</v>
      </c>
      <c r="K22" s="32" t="n">
        <f aca="false">IF($U22&lt;2,"N/A (n=1)",TINV(0.05,$U22-1)*SQRT($U22*SUMPRODUCT((ABS('All Data'!J170:J184-'All Data'!D170:D184)-$J22*'All Data'!D170:D184)^2)/(($U22-1)*$V22^2)))</f>
        <v>0.00821835121476284</v>
      </c>
      <c r="L22" s="35" t="n">
        <v>1952.5325</v>
      </c>
      <c r="M22" s="31" t="n">
        <f aca="false">SUMPRODUCT(ABS('All Data'!K170:K184-'All Data'!F170:F184))/$W22</f>
        <v>0.0847402777777778</v>
      </c>
      <c r="N22" s="33" t="n">
        <f aca="false">IF($U22&lt;2,"N/A (n=1)",TINV(0.05,$U22-1)*SQRT($U22*SUMPRODUCT((ABS('All Data'!K170:K184-'All Data'!F170:F184)-$M22*'All Data'!F170:F184)^2)/(($U22-1)*$W22^2)))</f>
        <v>0.00908850214957335</v>
      </c>
      <c r="O22" s="34" t="s">
        <v>22</v>
      </c>
      <c r="P22" s="35" t="s">
        <v>22</v>
      </c>
      <c r="Q22" s="36" t="s">
        <v>40</v>
      </c>
      <c r="U22" s="28" t="n">
        <f aca="false">COUNT('All Data'!D170:D184)</f>
        <v>15</v>
      </c>
      <c r="V22" s="28" t="n">
        <f aca="false">SUM('All Data'!D170:D184)</f>
        <v>600</v>
      </c>
      <c r="W22" s="28" t="n">
        <f aca="false">SUM('All Data'!F170:F184)</f>
        <v>1800</v>
      </c>
    </row>
    <row r="23" customFormat="false" ht="15" hidden="false" customHeight="true" outlineLevel="0" collapsed="false">
      <c r="A23" s="2" t="n">
        <v>23</v>
      </c>
      <c r="B23" s="29" t="s">
        <v>50</v>
      </c>
      <c r="C23" s="55" t="n">
        <v>330</v>
      </c>
      <c r="D23" s="16" t="n">
        <v>3</v>
      </c>
      <c r="E23" s="16" t="n">
        <f aca="false">C23*D23</f>
        <v>990</v>
      </c>
      <c r="F23" s="17" t="n">
        <v>18</v>
      </c>
      <c r="G23" s="17" t="n">
        <v>120</v>
      </c>
      <c r="H23" s="17" t="n">
        <v>40</v>
      </c>
      <c r="I23" s="34" t="n">
        <v>293</v>
      </c>
      <c r="J23" s="31" t="n">
        <f aca="false">SUMPRODUCT(ABS('All Data'!J237:J242-'All Data'!D237:D242))/$V23</f>
        <v>0.112121212121212</v>
      </c>
      <c r="K23" s="32" t="n">
        <f aca="false">IF($U23&lt;2,"N/A (n=1)",TINV(0.05,$U23-1)*SQRT($U23*SUMPRODUCT((ABS('All Data'!J237:J242-'All Data'!D237:D242)-$J23*'All Data'!D237:D242)^2)/(($U23-1)*$V23^2)))</f>
        <v>0.0899343991843944</v>
      </c>
      <c r="L23" s="35" t="n">
        <v>880.5201</v>
      </c>
      <c r="M23" s="31" t="n">
        <f aca="false">SUMPRODUCT(ABS('All Data'!K237:K242-'All Data'!F237:F242))/$W23</f>
        <v>0.146550808080808</v>
      </c>
      <c r="N23" s="33" t="n">
        <f aca="false">IF($U23&lt;2,"N/A (n=1)",TINV(0.05,$U23-1)*SQRT($U23*SUMPRODUCT((ABS('All Data'!K237:K242-'All Data'!F237:F242)-$M23*'All Data'!F237:F242)^2)/(($U23-1)*$W23^2)))</f>
        <v>0.0791067570007961</v>
      </c>
      <c r="O23" s="34" t="s">
        <v>22</v>
      </c>
      <c r="P23" s="35" t="s">
        <v>22</v>
      </c>
      <c r="Q23" s="36" t="s">
        <v>40</v>
      </c>
      <c r="U23" s="28" t="n">
        <f aca="false">COUNT('All Data'!D237:D242)</f>
        <v>6</v>
      </c>
      <c r="V23" s="28" t="n">
        <f aca="false">SUM('All Data'!D237:D242)</f>
        <v>330</v>
      </c>
      <c r="W23" s="28" t="n">
        <f aca="false">SUM('All Data'!F237:F242)</f>
        <v>990</v>
      </c>
    </row>
    <row r="24" customFormat="false" ht="15" hidden="false" customHeight="true" outlineLevel="0" collapsed="false">
      <c r="A24" s="2" t="n">
        <v>24</v>
      </c>
      <c r="B24" s="46" t="s">
        <v>51</v>
      </c>
      <c r="C24" s="47" t="n">
        <v>502</v>
      </c>
      <c r="D24" s="47" t="n">
        <v>3</v>
      </c>
      <c r="E24" s="47" t="n">
        <v>1506</v>
      </c>
      <c r="F24" s="47" t="n">
        <v>18</v>
      </c>
      <c r="G24" s="47" t="n">
        <v>120</v>
      </c>
      <c r="H24" s="47" t="n">
        <v>40</v>
      </c>
      <c r="I24" s="48" t="n">
        <v>497</v>
      </c>
      <c r="J24" s="49" t="n">
        <f aca="false">SUMPRODUCT(ABS('All Data'!J16:J22-'All Data'!D16:D22))/$V24</f>
        <v>0.0139442231075697</v>
      </c>
      <c r="K24" s="50" t="n">
        <f aca="false">IF($U24&lt;2,"N/A (n=1)",TINV(0.05,$U24-1)*SQRT($U24*SUMPRODUCT((ABS('All Data'!J16:J22-'All Data'!D16:D22)-$J24*'All Data'!D16:D22)^2)/(($U24-1)*$V24^2)))</f>
        <v>0.0229146826856367</v>
      </c>
      <c r="L24" s="47" t="n">
        <v>1555.7735</v>
      </c>
      <c r="M24" s="49" t="n">
        <f aca="false">SUMPRODUCT(ABS('All Data'!K16:K22-'All Data'!F16:F22))/$W24</f>
        <v>0.0398207835325365</v>
      </c>
      <c r="N24" s="51" t="n">
        <f aca="false">IF($U24&lt;2,"N/A (n=1)",TINV(0.05,$U24-1)*SQRT($U24*SUMPRODUCT((ABS('All Data'!K16:K22-'All Data'!F16:F22)-$M24*'All Data'!F16:F22)^2)/(($U24-1)*$W24^2)))</f>
        <v>0.0117595673861775</v>
      </c>
      <c r="O24" s="52" t="s">
        <v>22</v>
      </c>
      <c r="P24" s="53" t="s">
        <v>22</v>
      </c>
      <c r="Q24" s="54" t="s">
        <v>24</v>
      </c>
      <c r="U24" s="28" t="n">
        <f aca="false">COUNT('All Data'!D16:D22)</f>
        <v>7</v>
      </c>
      <c r="V24" s="28" t="n">
        <f aca="false">SUM('All Data'!D16:D22)</f>
        <v>502</v>
      </c>
      <c r="W24" s="28" t="n">
        <f aca="false">SUM('All Data'!F16:F22)</f>
        <v>1506</v>
      </c>
    </row>
    <row r="25" customFormat="false" ht="15" hidden="false" customHeight="true" outlineLevel="0" collapsed="false">
      <c r="A25" s="2" t="n">
        <v>25</v>
      </c>
      <c r="B25" s="29" t="s">
        <v>52</v>
      </c>
      <c r="C25" s="55" t="n">
        <v>600</v>
      </c>
      <c r="D25" s="16" t="n">
        <v>3</v>
      </c>
      <c r="E25" s="16" t="n">
        <f aca="false">C25*D25</f>
        <v>1800</v>
      </c>
      <c r="F25" s="17" t="n">
        <v>18</v>
      </c>
      <c r="G25" s="17" t="n">
        <v>120</v>
      </c>
      <c r="H25" s="17" t="n">
        <v>40</v>
      </c>
      <c r="I25" s="34" t="n">
        <v>601</v>
      </c>
      <c r="J25" s="31" t="n">
        <f aca="false">SUMPRODUCT(ABS('All Data'!J186:J200-'All Data'!D186:D200))/$V25</f>
        <v>0.0116666666666667</v>
      </c>
      <c r="K25" s="32" t="n">
        <f aca="false">IF($U25&lt;2,"N/A (n=1)",TINV(0.05,$U25-1)*SQRT($U25*SUMPRODUCT((ABS('All Data'!J186:J200-'All Data'!D186:D200)-$J25*'All Data'!D186:D200)^2)/(($U25-1)*$V25^2)))</f>
        <v>0.00714928895972601</v>
      </c>
      <c r="L25" s="35" t="n">
        <v>1951.3244</v>
      </c>
      <c r="M25" s="31" t="n">
        <f aca="false">SUMPRODUCT(ABS('All Data'!K186:K200-'All Data'!F186:F200))/$W25</f>
        <v>0.0840691111111111</v>
      </c>
      <c r="N25" s="33" t="n">
        <f aca="false">IF($U25&lt;2,"N/A (n=1)",TINV(0.05,$U25-1)*SQRT($U25*SUMPRODUCT((ABS('All Data'!K186:K200-'All Data'!F186:F200)-$M25*'All Data'!F186:F200)^2)/(($U25-1)*$W25^2)))</f>
        <v>0.00932858361615241</v>
      </c>
      <c r="O25" s="34" t="s">
        <v>22</v>
      </c>
      <c r="P25" s="35" t="s">
        <v>22</v>
      </c>
      <c r="Q25" s="36" t="s">
        <v>24</v>
      </c>
      <c r="U25" s="28" t="n">
        <f aca="false">COUNT('All Data'!D186:D200)</f>
        <v>15</v>
      </c>
      <c r="V25" s="28" t="n">
        <f aca="false">SUM('All Data'!D186:D200)</f>
        <v>600</v>
      </c>
      <c r="W25" s="28" t="n">
        <f aca="false">SUM('All Data'!F186:F200)</f>
        <v>1800</v>
      </c>
    </row>
    <row r="26" customFormat="false" ht="15" hidden="false" customHeight="true" outlineLevel="0" collapsed="false">
      <c r="A26" s="2" t="n">
        <v>26</v>
      </c>
      <c r="B26" s="57" t="s">
        <v>53</v>
      </c>
      <c r="C26" s="73" t="n">
        <v>826</v>
      </c>
      <c r="D26" s="7" t="n">
        <v>3</v>
      </c>
      <c r="E26" s="7" t="n">
        <f aca="false">C26*D26</f>
        <v>2478</v>
      </c>
      <c r="F26" s="58" t="n">
        <v>18</v>
      </c>
      <c r="G26" s="58" t="n">
        <v>120</v>
      </c>
      <c r="H26" s="58" t="n">
        <v>40</v>
      </c>
      <c r="I26" s="62" t="n">
        <v>818</v>
      </c>
      <c r="J26" s="59" t="n">
        <f aca="false">SUMPRODUCT(ABS('All Data'!J202:J209-'All Data'!D202:D209))/$V26</f>
        <v>0.00968523002421308</v>
      </c>
      <c r="K26" s="60" t="n">
        <f aca="false">IF($U26&lt;2,"N/A (n=1)",TINV(0.05,$U26-1)*SQRT($U26*SUMPRODUCT((ABS('All Data'!J202:J209-'All Data'!D202:D209)-$J26*'All Data'!D202:D209)^2)/(($U26-1)*$V26^2)))</f>
        <v>0.0141358298570421</v>
      </c>
      <c r="L26" s="63" t="n">
        <v>2636.1054</v>
      </c>
      <c r="M26" s="59" t="n">
        <f aca="false">SUMPRODUCT(ABS('All Data'!K202:K209-'All Data'!F202:F209))/$W26</f>
        <v>0.0638036319612591</v>
      </c>
      <c r="N26" s="61" t="n">
        <f aca="false">IF($U26&lt;2,"N/A (n=1)",TINV(0.05,$U26-1)*SQRT($U26*SUMPRODUCT((ABS('All Data'!K202:K209-'All Data'!F202:F209)-$M26*'All Data'!F202:F209)^2)/(($U26-1)*$W26^2)))</f>
        <v>0.0148436189864654</v>
      </c>
      <c r="O26" s="62" t="s">
        <v>22</v>
      </c>
      <c r="P26" s="63" t="s">
        <v>22</v>
      </c>
      <c r="Q26" s="64" t="s">
        <v>24</v>
      </c>
      <c r="U26" s="28" t="n">
        <f aca="false">COUNT('All Data'!D202:D209)</f>
        <v>8</v>
      </c>
      <c r="V26" s="28" t="n">
        <f aca="false">SUM('All Data'!D202:D209)</f>
        <v>826</v>
      </c>
      <c r="W26" s="28" t="n">
        <f aca="false">SUM('All Data'!F202:F209)</f>
        <v>2478</v>
      </c>
    </row>
    <row r="27" customFormat="false" ht="15" hidden="false" customHeight="true" outlineLevel="0" collapsed="false">
      <c r="D27" s="16"/>
      <c r="E27" s="16"/>
    </row>
    <row r="28" customFormat="false" ht="15" hidden="false" customHeight="true" outlineLevel="0" collapsed="false">
      <c r="A28" s="1" t="n">
        <v>27</v>
      </c>
      <c r="B28" s="74" t="s">
        <v>54</v>
      </c>
      <c r="C28" s="75" t="n">
        <v>400</v>
      </c>
      <c r="D28" s="24" t="n">
        <v>3</v>
      </c>
      <c r="E28" s="24" t="n">
        <f aca="false">C28*D28</f>
        <v>1200</v>
      </c>
      <c r="F28" s="24" t="n">
        <v>18</v>
      </c>
      <c r="G28" s="24" t="n">
        <v>120</v>
      </c>
      <c r="H28" s="76" t="n">
        <v>40</v>
      </c>
      <c r="I28" s="77" t="n">
        <v>260</v>
      </c>
      <c r="J28" s="78" t="n">
        <f aca="false">SUMPRODUCT(ABS('All Data'!J214:J217-'All Data'!D214:D217))/$V28</f>
        <v>0.35</v>
      </c>
      <c r="K28" s="79" t="n">
        <f aca="false">IF($U28&lt;2,"N/A (n=1)",TINV(0.05,$U28-1)*SQRT($U28*SUMPRODUCT((ABS('All Data'!J214:J217-'All Data'!D214:D217)-$J28*'All Data'!D214:D217)^2)/(($U28-1)*$V28^2)))</f>
        <v>0.585085634439328</v>
      </c>
      <c r="L28" s="77" t="n">
        <v>797.3545</v>
      </c>
      <c r="M28" s="78" t="n">
        <f aca="false">SUMPRODUCT(ABS('All Data'!K214:K217-'All Data'!F214:F217))/$W28</f>
        <v>0.335537916666667</v>
      </c>
      <c r="N28" s="79" t="n">
        <f aca="false">IF($U28&lt;2,"N/A (n=1)",TINV(0.05,$U28-1)*SQRT($U28*SUMPRODUCT((ABS('All Data'!K214:K217-'All Data'!F214:F217)-$M28*'All Data'!F214:F217)^2)/(($U28-1)*$W28^2)))</f>
        <v>0.600073003798117</v>
      </c>
      <c r="O28" s="75" t="s">
        <v>22</v>
      </c>
      <c r="P28" s="77" t="s">
        <v>22</v>
      </c>
      <c r="Q28" s="80" t="s">
        <v>40</v>
      </c>
      <c r="U28" s="28" t="n">
        <f aca="false">COUNT('All Data'!D214:D217)</f>
        <v>4</v>
      </c>
      <c r="V28" s="28" t="n">
        <f aca="false">SUM('All Data'!D214:D217)</f>
        <v>400</v>
      </c>
      <c r="W28" s="28" t="n">
        <f aca="false">SUM('All Data'!F214:F217)</f>
        <v>1200</v>
      </c>
    </row>
    <row r="29" customFormat="false" ht="15" hidden="false" customHeight="true" outlineLevel="0" collapsed="false">
      <c r="A29" s="1" t="n">
        <v>28</v>
      </c>
      <c r="B29" s="13" t="s">
        <v>55</v>
      </c>
      <c r="C29" s="81" t="n">
        <v>240</v>
      </c>
      <c r="D29" s="17" t="n">
        <v>3</v>
      </c>
      <c r="E29" s="17" t="n">
        <f aca="false">C29*D29</f>
        <v>720</v>
      </c>
      <c r="F29" s="17" t="n">
        <v>18</v>
      </c>
      <c r="G29" s="17" t="n">
        <v>120</v>
      </c>
      <c r="H29" s="82" t="n">
        <v>40</v>
      </c>
      <c r="I29" s="55" t="n">
        <v>1</v>
      </c>
      <c r="J29" s="83" t="n">
        <f aca="false">SUMPRODUCT(ABS('All Data'!J219:J221-'All Data'!D219:D221))/$V29</f>
        <v>0.995833333333333</v>
      </c>
      <c r="K29" s="84" t="n">
        <f aca="false">IF($U29&lt;2,"N/A (n=1)",TINV(0.05,$U29-1)*SQRT($U29*SUMPRODUCT((ABS('All Data'!J219:J221-'All Data'!D219:D221)-$J29*'All Data'!D219:D221)^2)/(($U29-1)*$V29^2)))</f>
        <v>0.0179277197072894</v>
      </c>
      <c r="L29" s="55" t="n">
        <v>0.4032</v>
      </c>
      <c r="M29" s="83" t="n">
        <f aca="false">SUMPRODUCT(ABS('All Data'!K219:K221-'All Data'!F219:F221))/$W29</f>
        <v>0.99944</v>
      </c>
      <c r="N29" s="84" t="n">
        <f aca="false">IF($U29&lt;2,"N/A (n=1)",TINV(0.05,$U29-1)*SQRT($U29*SUMPRODUCT((ABS('All Data'!K219:K221-'All Data'!F219:F221)-$M29*'All Data'!F219:F221)^2)/(($U29-1)*$W29^2)))</f>
        <v>0.00240948552865969</v>
      </c>
      <c r="O29" s="81" t="s">
        <v>23</v>
      </c>
      <c r="P29" s="55" t="s">
        <v>23</v>
      </c>
      <c r="Q29" s="36" t="s">
        <v>40</v>
      </c>
      <c r="U29" s="28" t="n">
        <f aca="false">COUNT('All Data'!D219:D221)</f>
        <v>3</v>
      </c>
      <c r="V29" s="28" t="n">
        <f aca="false">SUM('All Data'!D219:D221)</f>
        <v>240</v>
      </c>
      <c r="W29" s="28" t="n">
        <f aca="false">SUM('All Data'!F219:F221)</f>
        <v>720</v>
      </c>
    </row>
    <row r="30" customFormat="false" ht="15" hidden="false" customHeight="true" outlineLevel="0" collapsed="false">
      <c r="A30" s="1" t="n">
        <v>29</v>
      </c>
      <c r="B30" s="13" t="s">
        <v>56</v>
      </c>
      <c r="C30" s="81" t="n">
        <v>650</v>
      </c>
      <c r="D30" s="17" t="n">
        <v>3</v>
      </c>
      <c r="E30" s="17" t="n">
        <f aca="false">C30*D30</f>
        <v>1950</v>
      </c>
      <c r="F30" s="17" t="n">
        <v>18</v>
      </c>
      <c r="G30" s="17" t="n">
        <v>120</v>
      </c>
      <c r="H30" s="82" t="n">
        <v>40</v>
      </c>
      <c r="I30" s="55" t="n">
        <v>150</v>
      </c>
      <c r="J30" s="83" t="n">
        <f aca="false">SUMPRODUCT(ABS('All Data'!J223:J227-'All Data'!D223:D227))/$V30</f>
        <v>0.769230769230769</v>
      </c>
      <c r="K30" s="84" t="n">
        <f aca="false">IF($U30&lt;2,"N/A (n=1)",TINV(0.05,$U30-1)*SQRT($U30*SUMPRODUCT((ABS('All Data'!J223:J227-'All Data'!D223:D227)-$J30*'All Data'!D223:D227)^2)/(($U30-1)*$V30^2)))</f>
        <v>0.0527894839764502</v>
      </c>
      <c r="L30" s="55" t="n">
        <v>385.3958</v>
      </c>
      <c r="M30" s="83" t="n">
        <f aca="false">SUMPRODUCT(ABS('All Data'!K223:K227-'All Data'!F223:F227))/$W30</f>
        <v>0.802361128205128</v>
      </c>
      <c r="N30" s="84" t="n">
        <f aca="false">IF($U30&lt;2,"N/A (n=1)",TINV(0.05,$U30-1)*SQRT($U30*SUMPRODUCT((ABS('All Data'!K223:K227-'All Data'!F223:F227)-$M30*'All Data'!F223:F227)^2)/(($U30-1)*$W30^2)))</f>
        <v>0.11525877996707</v>
      </c>
      <c r="O30" s="81" t="s">
        <v>22</v>
      </c>
      <c r="P30" s="55" t="s">
        <v>23</v>
      </c>
      <c r="Q30" s="56" t="s">
        <v>24</v>
      </c>
      <c r="U30" s="28" t="n">
        <f aca="false">COUNT('All Data'!D223:D227)</f>
        <v>5</v>
      </c>
      <c r="V30" s="28" t="n">
        <f aca="false">SUM('All Data'!D223:D227)</f>
        <v>650</v>
      </c>
      <c r="W30" s="28" t="n">
        <f aca="false">SUM('All Data'!F223:F227)</f>
        <v>1950</v>
      </c>
    </row>
    <row r="31" customFormat="false" ht="15" hidden="false" customHeight="true" outlineLevel="0" collapsed="false">
      <c r="A31" s="1" t="n">
        <v>30</v>
      </c>
      <c r="B31" s="85" t="s">
        <v>57</v>
      </c>
      <c r="C31" s="86" t="n">
        <v>560</v>
      </c>
      <c r="D31" s="58" t="n">
        <v>3</v>
      </c>
      <c r="E31" s="58" t="n">
        <f aca="false">C31*D31</f>
        <v>1680</v>
      </c>
      <c r="F31" s="58" t="n">
        <v>18</v>
      </c>
      <c r="G31" s="58" t="n">
        <v>120</v>
      </c>
      <c r="H31" s="87" t="n">
        <v>40</v>
      </c>
      <c r="I31" s="73" t="n">
        <v>326</v>
      </c>
      <c r="J31" s="88" t="n">
        <f aca="false">SUMPRODUCT(ABS('All Data'!J229:J235-'All Data'!D229:D235))/$V31</f>
        <v>0.417857142857143</v>
      </c>
      <c r="K31" s="89" t="n">
        <f aca="false">IF($U31&lt;2,"N/A (n=1)",TINV(0.05,$U31-1)*SQRT($U31*SUMPRODUCT((ABS('All Data'!J229:J235-'All Data'!D229:D235)-$J31*'All Data'!D229:D235)^2)/(($U31-1)*$V31^2)))</f>
        <v>0.157644995739007</v>
      </c>
      <c r="L31" s="73" t="n">
        <v>788.0675</v>
      </c>
      <c r="M31" s="88" t="n">
        <f aca="false">SUMPRODUCT(ABS('All Data'!K229:K235-'All Data'!F229:F235))/$W31</f>
        <v>0.530912202380952</v>
      </c>
      <c r="N31" s="89" t="n">
        <f aca="false">IF($U31&lt;2,"N/A (n=1)",TINV(0.05,$U31-1)*SQRT($U31*SUMPRODUCT((ABS('All Data'!K229:K235-'All Data'!F229:F235)-$M31*'All Data'!F229:F235)^2)/(($U31-1)*$W31^2)))</f>
        <v>0.223405628810436</v>
      </c>
      <c r="O31" s="86" t="s">
        <v>22</v>
      </c>
      <c r="P31" s="73" t="s">
        <v>23</v>
      </c>
      <c r="Q31" s="90" t="s">
        <v>24</v>
      </c>
      <c r="U31" s="28" t="n">
        <f aca="false">COUNT('All Data'!D229:D235)</f>
        <v>7</v>
      </c>
      <c r="V31" s="28" t="n">
        <f aca="false">SUM('All Data'!D229:D235)</f>
        <v>560</v>
      </c>
      <c r="W31" s="28" t="n">
        <f aca="false">SUM('All Data'!F229:F235)</f>
        <v>1680</v>
      </c>
    </row>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sheetData>
  <mergeCells count="3">
    <mergeCell ref="C1:H1"/>
    <mergeCell ref="I1:N1"/>
    <mergeCell ref="O1:Q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18" min="2" style="1" width="11"/>
  </cols>
  <sheetData>
    <row r="1" customFormat="false" ht="15" hidden="false" customHeight="true" outlineLevel="0" collapsed="false">
      <c r="A1" s="91" t="s">
        <v>58</v>
      </c>
    </row>
    <row r="2" customFormat="false" ht="15" hidden="false" customHeight="true" outlineLevel="0" collapsed="false">
      <c r="A2" s="28" t="s">
        <v>59</v>
      </c>
    </row>
    <row r="4" customFormat="false" ht="45.75" hidden="false" customHeight="true" outlineLevel="0" collapsed="false">
      <c r="A4" s="92" t="s">
        <v>3</v>
      </c>
      <c r="B4" s="92" t="s">
        <v>60</v>
      </c>
      <c r="C4" s="92" t="s">
        <v>61</v>
      </c>
      <c r="D4" s="92" t="s">
        <v>62</v>
      </c>
      <c r="E4" s="92" t="s">
        <v>63</v>
      </c>
      <c r="F4" s="93" t="s">
        <v>64</v>
      </c>
      <c r="G4" s="93" t="s">
        <v>65</v>
      </c>
      <c r="H4" s="93" t="s">
        <v>66</v>
      </c>
      <c r="I4" s="94" t="s">
        <v>67</v>
      </c>
      <c r="J4" s="94" t="s">
        <v>68</v>
      </c>
      <c r="K4" s="92" t="s">
        <v>69</v>
      </c>
      <c r="L4" s="92" t="s">
        <v>70</v>
      </c>
      <c r="M4" s="93" t="s">
        <v>71</v>
      </c>
      <c r="N4" s="93" t="s">
        <v>65</v>
      </c>
      <c r="O4" s="94" t="s">
        <v>72</v>
      </c>
      <c r="P4" s="94" t="s">
        <v>68</v>
      </c>
      <c r="Q4" s="92" t="s">
        <v>73</v>
      </c>
      <c r="R4" s="92" t="s">
        <v>70</v>
      </c>
    </row>
    <row r="5" customFormat="false" ht="15" hidden="false" customHeight="true" outlineLevel="0" collapsed="false">
      <c r="A5" s="28" t="str">
        <f aca="false">'Data Summary'!B3</f>
        <v>Adjust Myflavor</v>
      </c>
      <c r="B5" s="95" t="n">
        <f aca="false">'Data Summary'!U3</f>
        <v>11</v>
      </c>
      <c r="C5" s="95" t="n">
        <f aca="false">'Data Summary'!V3</f>
        <v>440</v>
      </c>
      <c r="D5" s="95" t="n">
        <f aca="false">MIN('All Data'!D64:D74)</f>
        <v>40</v>
      </c>
      <c r="E5" s="95" t="n">
        <f aca="false">MAX('All Data'!D64:D74)</f>
        <v>40</v>
      </c>
      <c r="F5" s="96" t="n">
        <f aca="false">AVERAGE('All Data'!L64:L74)</f>
        <v>0</v>
      </c>
      <c r="G5" s="96" t="n">
        <f aca="false">IF($B5&lt;2,"N/A",TINV(0.05,$B5-1)*STDEV('All Data'!L64:L74)/SQRT($B5))</f>
        <v>0</v>
      </c>
      <c r="H5" s="96" t="n">
        <f aca="false">IF($B5&lt;2,"N/A",F5-G5)</f>
        <v>0</v>
      </c>
      <c r="I5" s="96" t="n">
        <f aca="false">'Data Summary'!J3</f>
        <v>0</v>
      </c>
      <c r="J5" s="96" t="n">
        <f aca="false">'Data Summary'!K3</f>
        <v>0</v>
      </c>
      <c r="K5" s="96" t="n">
        <f aca="false">(SUM('All Data'!J64:J74)-SUM('All Data'!D64:D74))/SUM('All Data'!D64:D74)</f>
        <v>0</v>
      </c>
      <c r="L5" s="96" t="n">
        <f aca="false">IF($B5&lt;2,"N/A",TINV(0.05,$B5-1)*SQRT($B5*SUMPRODUCT((('All Data'!J64:J74-'All Data'!D64:D74)-K5*'All Data'!D64:D74)^2)/(($B5-1)*SUM('All Data'!D64:D74)^2)))</f>
        <v>0</v>
      </c>
      <c r="M5" s="96" t="n">
        <f aca="false">AVERAGE('All Data'!M64:M74)</f>
        <v>0.0891018181818182</v>
      </c>
      <c r="N5" s="96" t="n">
        <f aca="false">IF($B5&lt;2,"N/A",TINV(0.05,$B5-1)*STDEV('All Data'!M64:M74)/SQRT($B5))</f>
        <v>0.00552380474533138</v>
      </c>
      <c r="O5" s="96" t="n">
        <f aca="false">'Data Summary'!M3</f>
        <v>0.0891018181818182</v>
      </c>
      <c r="P5" s="96" t="n">
        <f aca="false">'Data Summary'!N3</f>
        <v>0.00552380474533138</v>
      </c>
      <c r="Q5" s="96" t="n">
        <f aca="false">(SUM('All Data'!K64:K74)-SUM('All Data'!F64:F74))/SUM('All Data'!F64:F74)</f>
        <v>0.0891018181818181</v>
      </c>
      <c r="R5" s="96" t="n">
        <f aca="false">IF($B5&lt;2,"N/A",TINV(0.05,$B5-1)*SQRT($B5*SUMPRODUCT((('All Data'!K64:K74-'All Data'!F64:F74)-Q5*'All Data'!F64:F74)^2)/(($B5-1)*SUM('All Data'!F64:F74)^2)))</f>
        <v>0.00552380474533138</v>
      </c>
    </row>
    <row r="6" customFormat="false" ht="15" hidden="false" customHeight="true" outlineLevel="0" collapsed="false">
      <c r="A6" s="28" t="str">
        <f aca="false">'Data Summary'!B4</f>
        <v>Artery CL6</v>
      </c>
      <c r="B6" s="95" t="n">
        <f aca="false">'Data Summary'!U4</f>
        <v>7</v>
      </c>
      <c r="C6" s="95" t="n">
        <f aca="false">'Data Summary'!V4</f>
        <v>433</v>
      </c>
      <c r="D6" s="95" t="n">
        <f aca="false">MIN('All Data'!D76:D82)</f>
        <v>16</v>
      </c>
      <c r="E6" s="95" t="n">
        <f aca="false">MAX('All Data'!D76:D82)</f>
        <v>140</v>
      </c>
      <c r="F6" s="96" t="n">
        <f aca="false">AVERAGE('All Data'!L76:L82)</f>
        <v>0.107694429123001</v>
      </c>
      <c r="G6" s="96" t="n">
        <f aca="false">IF($B6&lt;2,"N/A",TINV(0.05,$B6-1)*STDEV('All Data'!L76:L82)/SQRT($B6))</f>
        <v>0.157229770003674</v>
      </c>
      <c r="H6" s="96" t="n">
        <f aca="false">IF($B6&lt;2,"N/A",F6-G6)</f>
        <v>-0.0495353408806731</v>
      </c>
      <c r="I6" s="96" t="n">
        <f aca="false">'Data Summary'!J4</f>
        <v>0.069284064665127</v>
      </c>
      <c r="J6" s="96" t="n">
        <f aca="false">'Data Summary'!K4</f>
        <v>0.0995122953318648</v>
      </c>
      <c r="K6" s="96" t="n">
        <f aca="false">(SUM('All Data'!J76:J82)-SUM('All Data'!D76:D82))/SUM('All Data'!D76:D82)</f>
        <v>-0.069284064665127</v>
      </c>
      <c r="L6" s="96" t="n">
        <f aca="false">IF($B6&lt;2,"N/A",TINV(0.05,$B6-1)*SQRT($B6*SUMPRODUCT((('All Data'!J76:J82-'All Data'!D76:D82)-K6*'All Data'!D76:D82)^2)/(($B6-1)*SUM('All Data'!D76:D82)^2)))</f>
        <v>0.0995122953318648</v>
      </c>
      <c r="M6" s="96" t="n">
        <f aca="false">AVERAGE('All Data'!M76:M82)</f>
        <v>0.134550280612245</v>
      </c>
      <c r="N6" s="96" t="n">
        <f aca="false">IF($B6&lt;2,"N/A",TINV(0.05,$B6-1)*STDEV('All Data'!M76:M82)/SQRT($B6))</f>
        <v>0.11851206566951</v>
      </c>
      <c r="O6" s="96" t="n">
        <f aca="false">'Data Summary'!M4</f>
        <v>0.0919630484988453</v>
      </c>
      <c r="P6" s="96" t="n">
        <f aca="false">'Data Summary'!N4</f>
        <v>0.101063215484419</v>
      </c>
      <c r="Q6" s="96" t="n">
        <f aca="false">(SUM('All Data'!K76:K82)-SUM('All Data'!F76:F82))/SUM('All Data'!F76:F82)</f>
        <v>0.00973610469591985</v>
      </c>
      <c r="R6" s="96" t="n">
        <f aca="false">IF($B6&lt;2,"N/A",TINV(0.05,$B6-1)*SQRT($B6*SUMPRODUCT((('All Data'!K76:K82-'All Data'!F76:F82)-Q6*'All Data'!F76:F82)^2)/(($B6-1)*SUM('All Data'!F76:F82)^2)))</f>
        <v>0.112630576188714</v>
      </c>
    </row>
    <row r="7" customFormat="false" ht="15" hidden="false" customHeight="true" outlineLevel="0" collapsed="false">
      <c r="A7" s="28" t="str">
        <f aca="false">'Data Summary'!B5</f>
        <v>Breeze Pro</v>
      </c>
      <c r="B7" s="95" t="n">
        <f aca="false">'Data Summary'!U5</f>
        <v>5</v>
      </c>
      <c r="C7" s="95" t="n">
        <f aca="false">'Data Summary'!V5</f>
        <v>400</v>
      </c>
      <c r="D7" s="95" t="n">
        <f aca="false">MIN('All Data'!D39:D43)</f>
        <v>80</v>
      </c>
      <c r="E7" s="95" t="n">
        <f aca="false">MAX('All Data'!D39:D43)</f>
        <v>80</v>
      </c>
      <c r="F7" s="96" t="n">
        <f aca="false">AVERAGE('All Data'!L39:L43)</f>
        <v>0.0075</v>
      </c>
      <c r="G7" s="96" t="n">
        <f aca="false">IF($B7&lt;2,"N/A",TINV(0.05,$B7-1)*STDEV('All Data'!L39:L43)/SQRT($B7))</f>
        <v>0.0208233382889835</v>
      </c>
      <c r="H7" s="96" t="n">
        <f aca="false">IF($B7&lt;2,"N/A",F7-G7)</f>
        <v>-0.0133233382889834</v>
      </c>
      <c r="I7" s="96" t="n">
        <f aca="false">'Data Summary'!J5</f>
        <v>0.0075</v>
      </c>
      <c r="J7" s="96" t="n">
        <f aca="false">'Data Summary'!K5</f>
        <v>0.0208233382889835</v>
      </c>
      <c r="K7" s="96" t="n">
        <f aca="false">(SUM('All Data'!J39:J43)-SUM('All Data'!D39:D43))/SUM('All Data'!D39:D43)</f>
        <v>-0.0075</v>
      </c>
      <c r="L7" s="96" t="n">
        <f aca="false">IF($B7&lt;2,"N/A",TINV(0.05,$B7-1)*SQRT($B7*SUMPRODUCT((('All Data'!J39:J43-'All Data'!D39:D43)-K7*'All Data'!D39:D43)^2)/(($B7-1)*SUM('All Data'!D39:D43)^2)))</f>
        <v>0.0208233382889835</v>
      </c>
      <c r="M7" s="96" t="n">
        <f aca="false">AVERAGE('All Data'!M39:M43)</f>
        <v>0.0341919166666667</v>
      </c>
      <c r="N7" s="96" t="n">
        <f aca="false">IF($B7&lt;2,"N/A",TINV(0.05,$B7-1)*STDEV('All Data'!M39:M43)/SQRT($B7))</f>
        <v>0.0137344792741612</v>
      </c>
      <c r="O7" s="96" t="n">
        <f aca="false">'Data Summary'!M5</f>
        <v>0.0341919166666667</v>
      </c>
      <c r="P7" s="96" t="n">
        <f aca="false">'Data Summary'!N5</f>
        <v>0.0137344792741612</v>
      </c>
      <c r="Q7" s="96" t="n">
        <f aca="false">(SUM('All Data'!K39:K43)-SUM('All Data'!F39:F43))/SUM('All Data'!F39:F43)</f>
        <v>0.0341919166666666</v>
      </c>
      <c r="R7" s="96" t="n">
        <f aca="false">IF($B7&lt;2,"N/A",TINV(0.05,$B7-1)*SQRT($B7*SUMPRODUCT((('All Data'!K39:K43-'All Data'!F39:F43)-Q7*'All Data'!F39:F43)^2)/(($B7-1)*SUM('All Data'!F39:F43)^2)))</f>
        <v>0.0137344792741612</v>
      </c>
    </row>
    <row r="8" customFormat="false" ht="15" hidden="false" customHeight="true" outlineLevel="0" collapsed="false">
      <c r="A8" s="28" t="str">
        <f aca="false">'Data Summary'!B6</f>
        <v>EBCreate BC 5000</v>
      </c>
      <c r="B8" s="95" t="n">
        <f aca="false">'Data Summary'!U6</f>
        <v>5</v>
      </c>
      <c r="C8" s="95" t="n">
        <f aca="false">'Data Summary'!V6</f>
        <v>450</v>
      </c>
      <c r="D8" s="95" t="n">
        <f aca="false">MIN('All Data'!D84:D88)</f>
        <v>70</v>
      </c>
      <c r="E8" s="95" t="n">
        <f aca="false">MAX('All Data'!D84:D88)</f>
        <v>100</v>
      </c>
      <c r="F8" s="96" t="n">
        <f aca="false">AVERAGE('All Data'!L84:L88)</f>
        <v>0.0102142857142857</v>
      </c>
      <c r="G8" s="96" t="n">
        <f aca="false">IF($B8&lt;2,"N/A",TINV(0.05,$B8-1)*STDEV('All Data'!L84:L88)/SQRT($B8))</f>
        <v>0.0145719515719049</v>
      </c>
      <c r="H8" s="96" t="n">
        <f aca="false">IF($B8&lt;2,"N/A",F8-G8)</f>
        <v>-0.00435766585761917</v>
      </c>
      <c r="I8" s="96" t="n">
        <f aca="false">'Data Summary'!J6</f>
        <v>0.00888888888888889</v>
      </c>
      <c r="J8" s="96" t="n">
        <f aca="false">'Data Summary'!K6</f>
        <v>0.0130415244383474</v>
      </c>
      <c r="K8" s="96" t="n">
        <f aca="false">(SUM('All Data'!J84:J88)-SUM('All Data'!D84:D88))/SUM('All Data'!D84:D88)</f>
        <v>-0.00888888888888889</v>
      </c>
      <c r="L8" s="96" t="n">
        <f aca="false">IF($B8&lt;2,"N/A",TINV(0.05,$B8-1)*SQRT($B8*SUMPRODUCT((('All Data'!J84:J88-'All Data'!D84:D88)-K8*'All Data'!D84:D88)^2)/(($B8-1)*SUM('All Data'!D84:D88)^2)))</f>
        <v>0.0130415244383474</v>
      </c>
      <c r="M8" s="96" t="n">
        <f aca="false">AVERAGE('All Data'!M84:M88)</f>
        <v>0.0131302595238095</v>
      </c>
      <c r="N8" s="96" t="n">
        <f aca="false">IF($B8&lt;2,"N/A",TINV(0.05,$B8-1)*STDEV('All Data'!M84:M88)/SQRT($B8))</f>
        <v>0.00885074687942231</v>
      </c>
      <c r="O8" s="96" t="n">
        <f aca="false">'Data Summary'!M6</f>
        <v>0.0129411111111111</v>
      </c>
      <c r="P8" s="96" t="n">
        <f aca="false">'Data Summary'!N6</f>
        <v>0.00805531141335001</v>
      </c>
      <c r="Q8" s="96" t="n">
        <f aca="false">(SUM('All Data'!K84:K88)-SUM('All Data'!F84:F88))/SUM('All Data'!F84:F88)</f>
        <v>0.00614777777777784</v>
      </c>
      <c r="R8" s="96" t="n">
        <f aca="false">IF($B8&lt;2,"N/A",TINV(0.05,$B8-1)*SQRT($B8*SUMPRODUCT((('All Data'!K84:K88-'All Data'!F84:F88)-Q8*'All Data'!F84:F88)^2)/(($B8-1)*SUM('All Data'!F84:F88)^2)))</f>
        <v>0.0166618114550501</v>
      </c>
    </row>
    <row r="9" customFormat="false" ht="15" hidden="false" customHeight="true" outlineLevel="0" collapsed="false">
      <c r="A9" s="28" t="str">
        <f aca="false">'Data Summary'!B7</f>
        <v>Elf Bar BC5000</v>
      </c>
      <c r="B9" s="95" t="n">
        <f aca="false">'Data Summary'!U7</f>
        <v>6</v>
      </c>
      <c r="C9" s="95" t="n">
        <f aca="false">'Data Summary'!V7</f>
        <v>448</v>
      </c>
      <c r="D9" s="95" t="n">
        <f aca="false">MIN('All Data'!D3:D8)</f>
        <v>48</v>
      </c>
      <c r="E9" s="95" t="n">
        <f aca="false">MAX('All Data'!D3:D8)</f>
        <v>80</v>
      </c>
      <c r="F9" s="96" t="n">
        <f aca="false">AVERAGE('All Data'!L3:L8)</f>
        <v>0</v>
      </c>
      <c r="G9" s="96" t="n">
        <f aca="false">IF($B9&lt;2,"N/A",TINV(0.05,$B9-1)*STDEV('All Data'!L3:L8)/SQRT($B9))</f>
        <v>0</v>
      </c>
      <c r="H9" s="96" t="n">
        <f aca="false">IF($B9&lt;2,"N/A",F9-G9)</f>
        <v>0</v>
      </c>
      <c r="I9" s="96" t="n">
        <f aca="false">'Data Summary'!J7</f>
        <v>0</v>
      </c>
      <c r="J9" s="96" t="n">
        <f aca="false">'Data Summary'!K7</f>
        <v>0</v>
      </c>
      <c r="K9" s="96" t="n">
        <f aca="false">(SUM('All Data'!J3:J8)-SUM('All Data'!D3:D8))/SUM('All Data'!D3:D8)</f>
        <v>0</v>
      </c>
      <c r="L9" s="96" t="n">
        <f aca="false">IF($B9&lt;2,"N/A",TINV(0.05,$B9-1)*SQRT($B9*SUMPRODUCT((('All Data'!J3:J8-'All Data'!D3:D8)-K9*'All Data'!D3:D8)^2)/(($B9-1)*SUM('All Data'!D3:D8)^2)))</f>
        <v>0</v>
      </c>
      <c r="M9" s="96" t="n">
        <f aca="false">AVERAGE('All Data'!M3:M8)</f>
        <v>0.0293495601851852</v>
      </c>
      <c r="N9" s="96" t="n">
        <f aca="false">IF($B9&lt;2,"N/A",TINV(0.05,$B9-1)*STDEV('All Data'!M3:M8)/SQRT($B9))</f>
        <v>0.0150543468793585</v>
      </c>
      <c r="O9" s="96" t="n">
        <f aca="false">'Data Summary'!M7</f>
        <v>0.0288432291666667</v>
      </c>
      <c r="P9" s="96" t="n">
        <f aca="false">'Data Summary'!N7</f>
        <v>0.0158499245447311</v>
      </c>
      <c r="Q9" s="96" t="n">
        <f aca="false">(SUM('All Data'!K3:K8)-SUM('All Data'!F3:F8))/SUM('All Data'!F3:F8)</f>
        <v>0.0269777529761905</v>
      </c>
      <c r="R9" s="96" t="n">
        <f aca="false">IF($B9&lt;2,"N/A",TINV(0.05,$B9-1)*SQRT($B9*SUMPRODUCT((('All Data'!K3:K8-'All Data'!F3:F8)-Q9*'All Data'!F3:F8)^2)/(($B9-1)*SUM('All Data'!F3:F8)^2)))</f>
        <v>0.0199183037571908</v>
      </c>
    </row>
    <row r="10" customFormat="false" ht="15" hidden="false" customHeight="true" outlineLevel="0" collapsed="false">
      <c r="A10" s="28" t="str">
        <f aca="false">'Data Summary'!B8</f>
        <v>Funky Republic ti7000</v>
      </c>
      <c r="B10" s="95" t="n">
        <f aca="false">'Data Summary'!U8</f>
        <v>7</v>
      </c>
      <c r="C10" s="95" t="n">
        <f aca="false">'Data Summary'!V8</f>
        <v>560</v>
      </c>
      <c r="D10" s="95" t="n">
        <f aca="false">MIN('All Data'!D31:D37)</f>
        <v>80</v>
      </c>
      <c r="E10" s="95" t="n">
        <f aca="false">MAX('All Data'!D31:D37)</f>
        <v>80</v>
      </c>
      <c r="F10" s="96" t="n">
        <f aca="false">AVERAGE('All Data'!L31:L37)</f>
        <v>0.00714285714285714</v>
      </c>
      <c r="G10" s="96" t="n">
        <f aca="false">IF($B10&lt;2,"N/A",TINV(0.05,$B10-1)*STDEV('All Data'!L31:L37)/SQRT($B10))</f>
        <v>0.0131084563454195</v>
      </c>
      <c r="H10" s="96" t="n">
        <f aca="false">IF($B10&lt;2,"N/A",F10-G10)</f>
        <v>-0.00596559920256234</v>
      </c>
      <c r="I10" s="96" t="n">
        <f aca="false">'Data Summary'!J8</f>
        <v>0.00714285714285714</v>
      </c>
      <c r="J10" s="96" t="n">
        <f aca="false">'Data Summary'!K8</f>
        <v>0.0131084563454195</v>
      </c>
      <c r="K10" s="96" t="n">
        <f aca="false">(SUM('All Data'!J31:J37)-SUM('All Data'!D31:D37))/SUM('All Data'!D31:D37)</f>
        <v>-0.00357142857142857</v>
      </c>
      <c r="L10" s="96" t="n">
        <f aca="false">IF($B10&lt;2,"N/A",TINV(0.05,$B10-1)*SQRT($B10*SUMPRODUCT((('All Data'!J31:J37-'All Data'!D31:D37)-K10*'All Data'!D31:D37)^2)/(($B10-1)*SUM('All Data'!D31:D37)^2)))</f>
        <v>0.0144919437595033</v>
      </c>
      <c r="M10" s="96" t="n">
        <f aca="false">AVERAGE('All Data'!M31:M37)</f>
        <v>0.0678873214285714</v>
      </c>
      <c r="N10" s="96" t="n">
        <f aca="false">IF($B10&lt;2,"N/A",TINV(0.05,$B10-1)*STDEV('All Data'!M31:M37)/SQRT($B10))</f>
        <v>0.024107140045673</v>
      </c>
      <c r="O10" s="96" t="n">
        <f aca="false">'Data Summary'!M8</f>
        <v>0.0678873214285714</v>
      </c>
      <c r="P10" s="96" t="n">
        <f aca="false">'Data Summary'!N8</f>
        <v>0.024107140045673</v>
      </c>
      <c r="Q10" s="96" t="n">
        <f aca="false">(SUM('All Data'!K31:K37)-SUM('All Data'!F31:F37))/SUM('All Data'!F31:F37)</f>
        <v>0.0678873214285714</v>
      </c>
      <c r="R10" s="96" t="n">
        <f aca="false">IF($B10&lt;2,"N/A",TINV(0.05,$B10-1)*SQRT($B10*SUMPRODUCT((('All Data'!K31:K37-'All Data'!F31:F37)-Q10*'All Data'!F31:F37)^2)/(($B10-1)*SUM('All Data'!F31:F37)^2)))</f>
        <v>0.024107140045673</v>
      </c>
    </row>
    <row r="11" customFormat="false" ht="15" hidden="false" customHeight="true" outlineLevel="0" collapsed="false">
      <c r="A11" s="28" t="str">
        <f aca="false">'Data Summary'!B9</f>
        <v>Fzzybar X20000</v>
      </c>
      <c r="B11" s="95" t="n">
        <f aca="false">'Data Summary'!U9</f>
        <v>5</v>
      </c>
      <c r="C11" s="95" t="n">
        <f aca="false">'Data Summary'!V9</f>
        <v>530</v>
      </c>
      <c r="D11" s="95" t="n">
        <f aca="false">MIN('All Data'!D90:D94)</f>
        <v>30</v>
      </c>
      <c r="E11" s="95" t="n">
        <f aca="false">MAX('All Data'!D90:D94)</f>
        <v>140</v>
      </c>
      <c r="F11" s="96" t="n">
        <f aca="false">AVERAGE('All Data'!L90:L94)</f>
        <v>0.0643296703296703</v>
      </c>
      <c r="G11" s="96" t="n">
        <f aca="false">IF($B11&lt;2,"N/A",TINV(0.05,$B11-1)*STDEV('All Data'!L90:L94)/SQRT($B11))</f>
        <v>0.11014213766572</v>
      </c>
      <c r="H11" s="96" t="n">
        <f aca="false">IF($B11&lt;2,"N/A",F11-G11)</f>
        <v>-0.0458124673360502</v>
      </c>
      <c r="I11" s="96" t="n">
        <f aca="false">'Data Summary'!J9</f>
        <v>0.0754716981132075</v>
      </c>
      <c r="J11" s="96" t="n">
        <f aca="false">'Data Summary'!K9</f>
        <v>0.125207171226746</v>
      </c>
      <c r="K11" s="96" t="n">
        <f aca="false">(SUM('All Data'!J90:J94)-SUM('All Data'!D90:D94))/SUM('All Data'!D90:D94)</f>
        <v>-0.0754716981132075</v>
      </c>
      <c r="L11" s="96" t="n">
        <f aca="false">IF($B11&lt;2,"N/A",TINV(0.05,$B11-1)*SQRT($B11*SUMPRODUCT((('All Data'!J90:J94-'All Data'!D90:D94)-K11*'All Data'!D90:D94)^2)/(($B11-1)*SUM('All Data'!D90:D94)^2)))</f>
        <v>0.125207171226746</v>
      </c>
      <c r="M11" s="96" t="n">
        <f aca="false">AVERAGE('All Data'!M90:M94)</f>
        <v>0.0664453418803419</v>
      </c>
      <c r="N11" s="96" t="n">
        <f aca="false">IF($B11&lt;2,"N/A",TINV(0.05,$B11-1)*STDEV('All Data'!M90:M94)/SQRT($B11))</f>
        <v>0.0673509414687799</v>
      </c>
      <c r="O11" s="96" t="n">
        <f aca="false">'Data Summary'!M9</f>
        <v>0.0686160377358491</v>
      </c>
      <c r="P11" s="96" t="n">
        <f aca="false">'Data Summary'!N9</f>
        <v>0.0762691018678056</v>
      </c>
      <c r="Q11" s="96" t="n">
        <f aca="false">(SUM('All Data'!K90:K94)-SUM('All Data'!F90:F94))/SUM('All Data'!F90:F94)</f>
        <v>-0.00472396226415091</v>
      </c>
      <c r="R11" s="96" t="n">
        <f aca="false">IF($B11&lt;2,"N/A",TINV(0.05,$B11-1)*SQRT($B11*SUMPRODUCT((('All Data'!K90:K94-'All Data'!F90:F94)-Q11*'All Data'!F90:F94)^2)/(($B11-1)*SUM('All Data'!F90:F94)^2)))</f>
        <v>0.129706000286309</v>
      </c>
    </row>
    <row r="12" customFormat="false" ht="15" hidden="false" customHeight="true" outlineLevel="0" collapsed="false">
      <c r="A12" s="28" t="str">
        <f aca="false">'Data Summary'!B10</f>
        <v>Geek Bar Pulse</v>
      </c>
      <c r="B12" s="95" t="n">
        <f aca="false">'Data Summary'!U10</f>
        <v>5</v>
      </c>
      <c r="C12" s="95" t="n">
        <f aca="false">'Data Summary'!V10</f>
        <v>400</v>
      </c>
      <c r="D12" s="95" t="n">
        <f aca="false">MIN('All Data'!D10:D14)</f>
        <v>80</v>
      </c>
      <c r="E12" s="95" t="n">
        <f aca="false">MAX('All Data'!D10:D14)</f>
        <v>80</v>
      </c>
      <c r="F12" s="96" t="n">
        <f aca="false">AVERAGE('All Data'!L10:L14)</f>
        <v>0.0075</v>
      </c>
      <c r="G12" s="96" t="n">
        <f aca="false">IF($B12&lt;2,"N/A",TINV(0.05,$B12-1)*STDEV('All Data'!L10:L14)/SQRT($B12))</f>
        <v>0.013882225525989</v>
      </c>
      <c r="H12" s="96" t="n">
        <f aca="false">IF($B12&lt;2,"N/A",F12-G12)</f>
        <v>-0.00638222552598897</v>
      </c>
      <c r="I12" s="96" t="n">
        <f aca="false">'Data Summary'!J10</f>
        <v>0.0075</v>
      </c>
      <c r="J12" s="96" t="n">
        <f aca="false">'Data Summary'!K10</f>
        <v>0.013882225525989</v>
      </c>
      <c r="K12" s="96" t="n">
        <f aca="false">(SUM('All Data'!J10:J14)-SUM('All Data'!D10:D14))/SUM('All Data'!D10:D14)</f>
        <v>0.0075</v>
      </c>
      <c r="L12" s="96" t="n">
        <f aca="false">IF($B12&lt;2,"N/A",TINV(0.05,$B12-1)*SQRT($B12*SUMPRODUCT((('All Data'!J10:J14-'All Data'!D10:D14)-K12*'All Data'!D10:D14)^2)/(($B12-1)*SUM('All Data'!D10:D14)^2)))</f>
        <v>0.013882225525989</v>
      </c>
      <c r="M12" s="96" t="n">
        <f aca="false">AVERAGE('All Data'!M10:M14)</f>
        <v>0.0439251666666667</v>
      </c>
      <c r="N12" s="96" t="n">
        <f aca="false">IF($B12&lt;2,"N/A",TINV(0.05,$B12-1)*STDEV('All Data'!M10:M14)/SQRT($B12))</f>
        <v>0.00720252255210708</v>
      </c>
      <c r="O12" s="96" t="n">
        <f aca="false">'Data Summary'!M10</f>
        <v>0.0439251666666667</v>
      </c>
      <c r="P12" s="96" t="n">
        <f aca="false">'Data Summary'!N10</f>
        <v>0.00720252255210707</v>
      </c>
      <c r="Q12" s="96" t="n">
        <f aca="false">(SUM('All Data'!K10:K14)-SUM('All Data'!F10:F14))/SUM('All Data'!F10:F14)</f>
        <v>0.0439251666666667</v>
      </c>
      <c r="R12" s="96" t="n">
        <f aca="false">IF($B12&lt;2,"N/A",TINV(0.05,$B12-1)*SQRT($B12*SUMPRODUCT((('All Data'!K10:K14-'All Data'!F10:F14)-Q12*'All Data'!F10:F14)^2)/(($B12-1)*SUM('All Data'!F10:F14)^2)))</f>
        <v>0.00720252255210707</v>
      </c>
    </row>
    <row r="13" customFormat="false" ht="15" hidden="false" customHeight="true" outlineLevel="0" collapsed="false">
      <c r="A13" s="28" t="str">
        <f aca="false">'Data Summary'!B11</f>
        <v>Hyde IQ5000</v>
      </c>
      <c r="B13" s="95" t="n">
        <f aca="false">'Data Summary'!U11</f>
        <v>8</v>
      </c>
      <c r="C13" s="95" t="n">
        <f aca="false">'Data Summary'!V11</f>
        <v>536</v>
      </c>
      <c r="D13" s="95" t="n">
        <f aca="false">MIN('All Data'!D96:D103)</f>
        <v>16</v>
      </c>
      <c r="E13" s="95" t="n">
        <f aca="false">MAX('All Data'!D96:D103)</f>
        <v>80</v>
      </c>
      <c r="F13" s="96" t="n">
        <f aca="false">AVERAGE('All Data'!L96:L103)</f>
        <v>0.0575892857142857</v>
      </c>
      <c r="G13" s="96" t="n">
        <f aca="false">IF($B13&lt;2,"N/A",TINV(0.05,$B13-1)*STDEV('All Data'!L96:L103)/SQRT($B13))</f>
        <v>0.0522832884112993</v>
      </c>
      <c r="H13" s="96" t="n">
        <f aca="false">IF($B13&lt;2,"N/A",F13-G13)</f>
        <v>0.00530599730298638</v>
      </c>
      <c r="I13" s="96" t="n">
        <f aca="false">'Data Summary'!J11</f>
        <v>0.0615671641791045</v>
      </c>
      <c r="J13" s="96" t="n">
        <f aca="false">'Data Summary'!K11</f>
        <v>0.0570057726926347</v>
      </c>
      <c r="K13" s="96" t="n">
        <f aca="false">(SUM('All Data'!J96:J103)-SUM('All Data'!D96:D103))/SUM('All Data'!D96:D103)</f>
        <v>-0.0578358208955224</v>
      </c>
      <c r="L13" s="96" t="n">
        <f aca="false">IF($B13&lt;2,"N/A",TINV(0.05,$B13-1)*SQRT($B13*SUMPRODUCT((('All Data'!J96:J103-'All Data'!D96:D103)-K13*'All Data'!D96:D103)^2)/(($B13-1)*SUM('All Data'!D96:D103)^2)))</f>
        <v>0.0605944213962928</v>
      </c>
      <c r="M13" s="96" t="n">
        <f aca="false">AVERAGE('All Data'!M96:M103)</f>
        <v>0.125688</v>
      </c>
      <c r="N13" s="96" t="n">
        <f aca="false">IF($B13&lt;2,"N/A",TINV(0.05,$B13-1)*STDEV('All Data'!M96:M103)/SQRT($B13))</f>
        <v>0.0715000453192769</v>
      </c>
      <c r="O13" s="96" t="n">
        <f aca="false">'Data Summary'!M11</f>
        <v>0.114886878109453</v>
      </c>
      <c r="P13" s="96" t="n">
        <f aca="false">'Data Summary'!N11</f>
        <v>0.0704298898864802</v>
      </c>
      <c r="Q13" s="96" t="n">
        <f aca="false">(SUM('All Data'!K96:K103)-SUM('All Data'!F96:F103))/SUM('All Data'!F96:F103)</f>
        <v>-0.0976592661691543</v>
      </c>
      <c r="R13" s="96" t="n">
        <f aca="false">IF($B13&lt;2,"N/A",TINV(0.05,$B13-1)*SQRT($B13*SUMPRODUCT((('All Data'!K96:K103-'All Data'!F96:F103)-Q13*'All Data'!F96:F103)^2)/(($B13-1)*SUM('All Data'!F96:F103)^2)))</f>
        <v>0.0907640428424912</v>
      </c>
    </row>
    <row r="14" customFormat="false" ht="15" hidden="false" customHeight="true" outlineLevel="0" collapsed="false">
      <c r="A14" s="28" t="str">
        <f aca="false">'Data Summary'!B12</f>
        <v>Hyde N-bar</v>
      </c>
      <c r="B14" s="95" t="n">
        <f aca="false">'Data Summary'!U12</f>
        <v>3</v>
      </c>
      <c r="C14" s="95" t="n">
        <f aca="false">'Data Summary'!V12</f>
        <v>240</v>
      </c>
      <c r="D14" s="95" t="n">
        <f aca="false">MIN('All Data'!D105:D107)</f>
        <v>80</v>
      </c>
      <c r="E14" s="95" t="n">
        <f aca="false">MAX('All Data'!D105:D107)</f>
        <v>80</v>
      </c>
      <c r="F14" s="96" t="n">
        <f aca="false">AVERAGE('All Data'!L105:L107)</f>
        <v>0.0166666666666667</v>
      </c>
      <c r="G14" s="96" t="n">
        <f aca="false">IF($B14&lt;2,"N/A",TINV(0.05,$B14-1)*STDEV('All Data'!L105:L107)/SQRT($B14))</f>
        <v>0.0717108788291577</v>
      </c>
      <c r="H14" s="96" t="n">
        <f aca="false">IF($B14&lt;2,"N/A",F14-G14)</f>
        <v>-0.0550442121624911</v>
      </c>
      <c r="I14" s="96" t="n">
        <f aca="false">'Data Summary'!J12</f>
        <v>0.0166666666666667</v>
      </c>
      <c r="J14" s="96" t="n">
        <f aca="false">'Data Summary'!K12</f>
        <v>0.0717108788291577</v>
      </c>
      <c r="K14" s="96" t="n">
        <f aca="false">(SUM('All Data'!J105:J107)-SUM('All Data'!D105:D107))/SUM('All Data'!D105:D107)</f>
        <v>-0.0166666666666667</v>
      </c>
      <c r="L14" s="96" t="n">
        <f aca="false">IF($B14&lt;2,"N/A",TINV(0.05,$B14-1)*SQRT($B14*SUMPRODUCT((('All Data'!J105:J107-'All Data'!D105:D107)-K14*'All Data'!D105:D107)^2)/(($B14-1)*SUM('All Data'!D105:D107)^2)))</f>
        <v>0.0717108788291577</v>
      </c>
      <c r="M14" s="96" t="n">
        <f aca="false">AVERAGE('All Data'!M105:M107)</f>
        <v>0.0895648611111111</v>
      </c>
      <c r="N14" s="96" t="n">
        <f aca="false">IF($B14&lt;2,"N/A",TINV(0.05,$B14-1)*STDEV('All Data'!M105:M107)/SQRT($B14))</f>
        <v>0.093785673326712</v>
      </c>
      <c r="O14" s="96" t="n">
        <f aca="false">'Data Summary'!M12</f>
        <v>0.0895648611111111</v>
      </c>
      <c r="P14" s="96" t="n">
        <f aca="false">'Data Summary'!N12</f>
        <v>0.093785673326712</v>
      </c>
      <c r="Q14" s="96" t="n">
        <f aca="false">(SUM('All Data'!K105:K107)-SUM('All Data'!F105:F107))/SUM('All Data'!F105:F107)</f>
        <v>0.05876875</v>
      </c>
      <c r="R14" s="96" t="n">
        <f aca="false">IF($B14&lt;2,"N/A",TINV(0.05,$B14-1)*SQRT($B14*SUMPRODUCT((('All Data'!K105:K107-'All Data'!F105:F107)-Q14*'All Data'!F105:F107)^2)/(($B14-1)*SUM('All Data'!F105:F107)^2)))</f>
        <v>0.22600872797114</v>
      </c>
    </row>
    <row r="15" customFormat="false" ht="15" hidden="false" customHeight="true" outlineLevel="0" collapsed="false">
      <c r="A15" s="28" t="str">
        <f aca="false">'Data Summary'!B13</f>
        <v>Hyde Rebel</v>
      </c>
      <c r="B15" s="95" t="n">
        <f aca="false">'Data Summary'!U13</f>
        <v>5</v>
      </c>
      <c r="C15" s="95" t="n">
        <f aca="false">'Data Summary'!V13</f>
        <v>275</v>
      </c>
      <c r="D15" s="95" t="n">
        <f aca="false">MIN('All Data'!D109:D113)</f>
        <v>35</v>
      </c>
      <c r="E15" s="95" t="n">
        <f aca="false">MAX('All Data'!D109:D113)</f>
        <v>80</v>
      </c>
      <c r="F15" s="96" t="n">
        <f aca="false">AVERAGE('All Data'!L109:L113)</f>
        <v>0.0289285714285714</v>
      </c>
      <c r="G15" s="96" t="n">
        <f aca="false">IF($B15&lt;2,"N/A",TINV(0.05,$B15-1)*STDEV('All Data'!L109:L113)/SQRT($B15))</f>
        <v>0.0301742547904694</v>
      </c>
      <c r="H15" s="96" t="n">
        <f aca="false">IF($B15&lt;2,"N/A",F15-G15)</f>
        <v>-0.00124568336189798</v>
      </c>
      <c r="I15" s="96" t="n">
        <f aca="false">'Data Summary'!J13</f>
        <v>0.0218181818181818</v>
      </c>
      <c r="J15" s="96" t="n">
        <f aca="false">'Data Summary'!K13</f>
        <v>0.0285960618032345</v>
      </c>
      <c r="K15" s="96" t="n">
        <f aca="false">(SUM('All Data'!J109:J113)-SUM('All Data'!D109:D113))/SUM('All Data'!D109:D113)</f>
        <v>-0.0145454545454545</v>
      </c>
      <c r="L15" s="96" t="n">
        <f aca="false">IF($B15&lt;2,"N/A",TINV(0.05,$B15-1)*SQRT($B15*SUMPRODUCT((('All Data'!J109:J113-'All Data'!D109:D113)-K15*'All Data'!D109:D113)^2)/(($B15-1)*SUM('All Data'!D109:D113)^2)))</f>
        <v>0.0364796801038724</v>
      </c>
      <c r="M15" s="96" t="n">
        <f aca="false">AVERAGE('All Data'!M109:M113)</f>
        <v>0.0402664642857143</v>
      </c>
      <c r="N15" s="96" t="n">
        <f aca="false">IF($B15&lt;2,"N/A",TINV(0.05,$B15-1)*STDEV('All Data'!M109:M113)/SQRT($B15))</f>
        <v>0.0379622188837554</v>
      </c>
      <c r="O15" s="96" t="n">
        <f aca="false">'Data Summary'!M13</f>
        <v>0.0367957575757576</v>
      </c>
      <c r="P15" s="96" t="n">
        <f aca="false">'Data Summary'!N13</f>
        <v>0.0296778783247831</v>
      </c>
      <c r="Q15" s="96" t="n">
        <f aca="false">(SUM('All Data'!K109:K113)-SUM('All Data'!F109:F113))/SUM('All Data'!F109:F113)</f>
        <v>0.0367957575757576</v>
      </c>
      <c r="R15" s="96" t="n">
        <f aca="false">IF($B15&lt;2,"N/A",TINV(0.05,$B15-1)*SQRT($B15*SUMPRODUCT((('All Data'!K109:K113-'All Data'!F109:F113)-Q15*'All Data'!F109:F113)^2)/(($B15-1)*SUM('All Data'!F109:F113)^2)))</f>
        <v>0.0296778783247831</v>
      </c>
    </row>
    <row r="16" customFormat="false" ht="15" hidden="false" customHeight="true" outlineLevel="0" collapsed="false">
      <c r="A16" s="28" t="str">
        <f aca="false">'Data Summary'!B14</f>
        <v>Juul</v>
      </c>
      <c r="B16" s="95" t="n">
        <f aca="false">'Data Summary'!U14</f>
        <v>3</v>
      </c>
      <c r="C16" s="95" t="n">
        <f aca="false">'Data Summary'!V14</f>
        <v>185</v>
      </c>
      <c r="D16" s="95" t="n">
        <f aca="false">MIN('All Data'!D54:D56)</f>
        <v>25</v>
      </c>
      <c r="E16" s="95" t="n">
        <f aca="false">MAX('All Data'!D54:D56)</f>
        <v>80</v>
      </c>
      <c r="F16" s="96" t="n">
        <f aca="false">AVERAGE('All Data'!L54:L56)</f>
        <v>0</v>
      </c>
      <c r="G16" s="96" t="n">
        <f aca="false">IF($B16&lt;2,"N/A",TINV(0.05,$B16-1)*STDEV('All Data'!L54:L56)/SQRT($B16))</f>
        <v>0</v>
      </c>
      <c r="H16" s="96" t="n">
        <f aca="false">IF($B16&lt;2,"N/A",F16-G16)</f>
        <v>0</v>
      </c>
      <c r="I16" s="96" t="n">
        <f aca="false">'Data Summary'!J14</f>
        <v>0</v>
      </c>
      <c r="J16" s="96" t="n">
        <f aca="false">'Data Summary'!K14</f>
        <v>0</v>
      </c>
      <c r="K16" s="96" t="n">
        <f aca="false">(SUM('All Data'!J54:J56)-SUM('All Data'!D54:D56))/SUM('All Data'!D54:D56)</f>
        <v>0</v>
      </c>
      <c r="L16" s="96" t="n">
        <f aca="false">IF($B16&lt;2,"N/A",TINV(0.05,$B16-1)*SQRT($B16*SUMPRODUCT((('All Data'!J54:J56-'All Data'!D54:D56)-K16*'All Data'!D54:D56)^2)/(($B16-1)*SUM('All Data'!D54:D56)^2)))</f>
        <v>0</v>
      </c>
      <c r="M16" s="96" t="n">
        <f aca="false">AVERAGE('All Data'!M54:M56)</f>
        <v>0.00799724999999998</v>
      </c>
      <c r="N16" s="96" t="n">
        <f aca="false">IF($B16&lt;2,"N/A",TINV(0.05,$B16-1)*STDEV('All Data'!M54:M56)/SQRT($B16))</f>
        <v>0.0138689163587045</v>
      </c>
      <c r="O16" s="96" t="n">
        <f aca="false">'Data Summary'!M14</f>
        <v>0.00735783783783782</v>
      </c>
      <c r="P16" s="96" t="n">
        <f aca="false">'Data Summary'!N14</f>
        <v>0.0171349670825952</v>
      </c>
      <c r="Q16" s="96" t="n">
        <f aca="false">(SUM('All Data'!K54:K56)-SUM('All Data'!F54:F56))/SUM('All Data'!F54:F56)</f>
        <v>-0.00735783783783772</v>
      </c>
      <c r="R16" s="96" t="n">
        <f aca="false">IF($B16&lt;2,"N/A",TINV(0.05,$B16-1)*SQRT($B16*SUMPRODUCT((('All Data'!K54:K56-'All Data'!F54:F56)-Q16*'All Data'!F54:F56)^2)/(($B16-1)*SUM('All Data'!F54:F56)^2)))</f>
        <v>0.0171349670825951</v>
      </c>
    </row>
    <row r="17" customFormat="false" ht="15" hidden="false" customHeight="true" outlineLevel="0" collapsed="false">
      <c r="A17" s="28" t="str">
        <f aca="false">'Data Summary'!B15</f>
        <v>Kangvape Speedy Beast X</v>
      </c>
      <c r="B17" s="95" t="n">
        <f aca="false">'Data Summary'!U15</f>
        <v>9</v>
      </c>
      <c r="C17" s="95" t="n">
        <f aca="false">'Data Summary'!V15</f>
        <v>360</v>
      </c>
      <c r="D17" s="95" t="n">
        <f aca="false">MIN('All Data'!D115:D123)</f>
        <v>40</v>
      </c>
      <c r="E17" s="95" t="n">
        <f aca="false">MAX('All Data'!D115:D123)</f>
        <v>40</v>
      </c>
      <c r="F17" s="96" t="n">
        <f aca="false">AVERAGE('All Data'!L115:L123)</f>
        <v>0.0138888888888889</v>
      </c>
      <c r="G17" s="96" t="n">
        <f aca="false">IF($B17&lt;2,"N/A",TINV(0.05,$B17-1)*STDEV('All Data'!L115:L123)/SQRT($B17))</f>
        <v>0.0256222681689352</v>
      </c>
      <c r="H17" s="96" t="n">
        <f aca="false">IF($B17&lt;2,"N/A",F17-G17)</f>
        <v>-0.0117333792800463</v>
      </c>
      <c r="I17" s="96" t="n">
        <f aca="false">'Data Summary'!J15</f>
        <v>0.0138888888888889</v>
      </c>
      <c r="J17" s="96" t="n">
        <f aca="false">'Data Summary'!K15</f>
        <v>0.0256222681689352</v>
      </c>
      <c r="K17" s="96" t="n">
        <f aca="false">(SUM('All Data'!J115:J123)-SUM('All Data'!D115:D123))/SUM('All Data'!D115:D123)</f>
        <v>-0.00833333333333333</v>
      </c>
      <c r="L17" s="96" t="n">
        <f aca="false">IF($B17&lt;2,"N/A",TINV(0.05,$B17-1)*SQRT($B17*SUMPRODUCT((('All Data'!J115:J123-'All Data'!D115:D123)-K17*'All Data'!D115:D123)^2)/(($B17-1)*SUM('All Data'!D115:D123)^2)))</f>
        <v>0.0271765193574514</v>
      </c>
      <c r="M17" s="96" t="n">
        <f aca="false">AVERAGE('All Data'!M115:M123)</f>
        <v>0.0330459259259259</v>
      </c>
      <c r="N17" s="96" t="n">
        <f aca="false">IF($B17&lt;2,"N/A",TINV(0.05,$B17-1)*STDEV('All Data'!M115:M123)/SQRT($B17))</f>
        <v>0.0352062404424255</v>
      </c>
      <c r="O17" s="96" t="n">
        <f aca="false">'Data Summary'!M15</f>
        <v>0.0330459259259259</v>
      </c>
      <c r="P17" s="96" t="n">
        <f aca="false">'Data Summary'!N15</f>
        <v>0.0352062404424255</v>
      </c>
      <c r="Q17" s="96" t="n">
        <f aca="false">(SUM('All Data'!K115:K123)-SUM('All Data'!F115:F123))/SUM('All Data'!F115:F123)</f>
        <v>-0.016354074074074</v>
      </c>
      <c r="R17" s="96" t="n">
        <f aca="false">IF($B17&lt;2,"N/A",TINV(0.05,$B17-1)*SQRT($B17*SUMPRODUCT((('All Data'!K115:K123-'All Data'!F115:F123)-Q17*'All Data'!F115:F123)^2)/(($B17-1)*SUM('All Data'!F115:F123)^2)))</f>
        <v>0.0422798024401555</v>
      </c>
    </row>
    <row r="18" customFormat="false" ht="15" hidden="false" customHeight="true" outlineLevel="0" collapsed="false">
      <c r="A18" s="28" t="str">
        <f aca="false">'Data Summary'!B16</f>
        <v>Lost Angel Sphere 35K</v>
      </c>
      <c r="B18" s="95" t="n">
        <f aca="false">'Data Summary'!U16</f>
        <v>6</v>
      </c>
      <c r="C18" s="95" t="n">
        <f aca="false">'Data Summary'!V16</f>
        <v>480</v>
      </c>
      <c r="D18" s="95" t="n">
        <f aca="false">MIN('All Data'!D47:D52)</f>
        <v>80</v>
      </c>
      <c r="E18" s="95" t="n">
        <f aca="false">MAX('All Data'!D47:D52)</f>
        <v>80</v>
      </c>
      <c r="F18" s="96" t="n">
        <f aca="false">AVERAGE('All Data'!L47:L52)</f>
        <v>0</v>
      </c>
      <c r="G18" s="96" t="n">
        <f aca="false">IF($B18&lt;2,"N/A",TINV(0.05,$B18-1)*STDEV('All Data'!L47:L52)/SQRT($B18))</f>
        <v>0</v>
      </c>
      <c r="H18" s="96" t="n">
        <f aca="false">IF($B18&lt;2,"N/A",F18-G18)</f>
        <v>0</v>
      </c>
      <c r="I18" s="96" t="n">
        <f aca="false">'Data Summary'!J16</f>
        <v>0</v>
      </c>
      <c r="J18" s="96" t="n">
        <f aca="false">'Data Summary'!K16</f>
        <v>0</v>
      </c>
      <c r="K18" s="96" t="n">
        <f aca="false">(SUM('All Data'!J47:J52)-SUM('All Data'!D47:D52))/SUM('All Data'!D47:D52)</f>
        <v>0</v>
      </c>
      <c r="L18" s="96" t="n">
        <f aca="false">IF($B18&lt;2,"N/A",TINV(0.05,$B18-1)*SQRT($B18*SUMPRODUCT((('All Data'!J47:J52-'All Data'!D47:D52)-K18*'All Data'!D47:D52)^2)/(($B18-1)*SUM('All Data'!D47:D52)^2)))</f>
        <v>0</v>
      </c>
      <c r="M18" s="96" t="n">
        <f aca="false">AVERAGE('All Data'!M47:M52)</f>
        <v>0.0286321527777778</v>
      </c>
      <c r="N18" s="96" t="n">
        <f aca="false">IF($B18&lt;2,"N/A",TINV(0.05,$B18-1)*STDEV('All Data'!M47:M52)/SQRT($B18))</f>
        <v>0.00148213025713506</v>
      </c>
      <c r="O18" s="96" t="n">
        <f aca="false">'Data Summary'!M16</f>
        <v>0.0286321527777778</v>
      </c>
      <c r="P18" s="96" t="n">
        <f aca="false">'Data Summary'!N16</f>
        <v>0.00148213025713506</v>
      </c>
      <c r="Q18" s="96" t="n">
        <f aca="false">(SUM('All Data'!K47:K52)-SUM('All Data'!F47:F52))/SUM('All Data'!F47:F52)</f>
        <v>0.0286321527777777</v>
      </c>
      <c r="R18" s="96" t="n">
        <f aca="false">IF($B18&lt;2,"N/A",TINV(0.05,$B18-1)*SQRT($B18*SUMPRODUCT((('All Data'!K47:K52-'All Data'!F47:F52)-Q18*'All Data'!F47:F52)^2)/(($B18-1)*SUM('All Data'!F47:F52)^2)))</f>
        <v>0.00148213025713506</v>
      </c>
    </row>
    <row r="19" customFormat="false" ht="15" hidden="false" customHeight="true" outlineLevel="0" collapsed="false">
      <c r="A19" s="28" t="str">
        <f aca="false">'Data Summary'!B17</f>
        <v>Lost Mary MT15000</v>
      </c>
      <c r="B19" s="95" t="n">
        <f aca="false">'Data Summary'!U17</f>
        <v>6</v>
      </c>
      <c r="C19" s="95" t="n">
        <f aca="false">'Data Summary'!V17</f>
        <v>455</v>
      </c>
      <c r="D19" s="95" t="n">
        <f aca="false">MIN('All Data'!D24:D29)</f>
        <v>55</v>
      </c>
      <c r="E19" s="95" t="n">
        <f aca="false">MAX('All Data'!D24:D29)</f>
        <v>80</v>
      </c>
      <c r="F19" s="96" t="n">
        <f aca="false">AVERAGE('All Data'!L24:L29)</f>
        <v>0.0268939393939394</v>
      </c>
      <c r="G19" s="96" t="n">
        <f aca="false">IF($B19&lt;2,"N/A",TINV(0.05,$B19-1)*STDEV('All Data'!L24:L29)/SQRT($B19))</f>
        <v>0.0151723149296958</v>
      </c>
      <c r="H19" s="96" t="n">
        <f aca="false">IF($B19&lt;2,"N/A",F19-G19)</f>
        <v>0.0117216244642436</v>
      </c>
      <c r="I19" s="96" t="n">
        <f aca="false">'Data Summary'!J17</f>
        <v>0.0263736263736264</v>
      </c>
      <c r="J19" s="96" t="n">
        <f aca="false">'Data Summary'!K17</f>
        <v>0.0156105024651211</v>
      </c>
      <c r="K19" s="96" t="n">
        <f aca="false">(SUM('All Data'!J24:J29)-SUM('All Data'!D24:D29))/SUM('All Data'!D24:D29)</f>
        <v>-0.0131868131868132</v>
      </c>
      <c r="L19" s="96" t="n">
        <f aca="false">IF($B19&lt;2,"N/A",TINV(0.05,$B19-1)*SQRT($B19*SUMPRODUCT((('All Data'!J24:J29-'All Data'!D24:D29)-K19*'All Data'!D24:D29)^2)/(($B19-1)*SUM('All Data'!D24:D29)^2)))</f>
        <v>0.0291024829339743</v>
      </c>
      <c r="M19" s="96" t="n">
        <f aca="false">AVERAGE('All Data'!M24:M29)</f>
        <v>0.0279689772727273</v>
      </c>
      <c r="N19" s="96" t="n">
        <f aca="false">IF($B19&lt;2,"N/A",TINV(0.05,$B19-1)*STDEV('All Data'!M24:M29)/SQRT($B19))</f>
        <v>0.0241142705661026</v>
      </c>
      <c r="O19" s="96" t="n">
        <f aca="false">'Data Summary'!M17</f>
        <v>0.0258575824175824</v>
      </c>
      <c r="P19" s="96" t="n">
        <f aca="false">'Data Summary'!N17</f>
        <v>0.0210064550073599</v>
      </c>
      <c r="Q19" s="96" t="n">
        <f aca="false">(SUM('All Data'!K24:K29)-SUM('All Data'!F24:F29))/SUM('All Data'!F24:F29)</f>
        <v>0.0225797802197803</v>
      </c>
      <c r="R19" s="96" t="n">
        <f aca="false">IF($B19&lt;2,"N/A",TINV(0.05,$B19-1)*SQRT($B19*SUMPRODUCT((('All Data'!K24:K29-'All Data'!F24:F29)-Q19*'All Data'!F24:F29)^2)/(($B19-1)*SUM('All Data'!F24:F29)^2)))</f>
        <v>0.0254570711365083</v>
      </c>
    </row>
    <row r="20" customFormat="false" ht="15" hidden="false" customHeight="true" outlineLevel="0" collapsed="false">
      <c r="A20" s="28" t="str">
        <f aca="false">'Data Summary'!B18</f>
        <v>Mr Fog Aura</v>
      </c>
      <c r="B20" s="95" t="n">
        <f aca="false">'Data Summary'!U18</f>
        <v>11</v>
      </c>
      <c r="C20" s="95" t="n">
        <f aca="false">'Data Summary'!V18</f>
        <v>1049</v>
      </c>
      <c r="D20" s="95" t="n">
        <f aca="false">MIN('All Data'!D125:D135)</f>
        <v>39</v>
      </c>
      <c r="E20" s="95" t="n">
        <f aca="false">MAX('All Data'!D125:D135)</f>
        <v>200</v>
      </c>
      <c r="F20" s="96" t="n">
        <f aca="false">AVERAGE('All Data'!L125:L135)</f>
        <v>0.111571126242179</v>
      </c>
      <c r="G20" s="96" t="n">
        <f aca="false">IF($B20&lt;2,"N/A",TINV(0.05,$B20-1)*STDEV('All Data'!L125:L135)/SQRT($B20))</f>
        <v>0.129898588106341</v>
      </c>
      <c r="H20" s="96" t="n">
        <f aca="false">IF($B20&lt;2,"N/A",F20-G20)</f>
        <v>-0.0183274618641617</v>
      </c>
      <c r="I20" s="96" t="n">
        <f aca="false">'Data Summary'!J18</f>
        <v>0.0533841754051478</v>
      </c>
      <c r="J20" s="96" t="n">
        <f aca="false">'Data Summary'!K18</f>
        <v>0.0674459334028973</v>
      </c>
      <c r="K20" s="96" t="n">
        <f aca="false">(SUM('All Data'!J125:J135)-SUM('All Data'!D125:D135))/SUM('All Data'!D125:D135)</f>
        <v>-0.0343183984747378</v>
      </c>
      <c r="L20" s="96" t="n">
        <f aca="false">IF($B20&lt;2,"N/A",TINV(0.05,$B20-1)*SQRT($B20*SUMPRODUCT((('All Data'!J125:J135-'All Data'!D125:D135)-K20*'All Data'!D125:D135)^2)/(($B20-1)*SUM('All Data'!D125:D135)^2)))</f>
        <v>0.0713241249082818</v>
      </c>
      <c r="M20" s="96" t="n">
        <f aca="false">AVERAGE('All Data'!M125:M135)</f>
        <v>0.15437659093465</v>
      </c>
      <c r="N20" s="96" t="n">
        <f aca="false">IF($B20&lt;2,"N/A",TINV(0.05,$B20-1)*STDEV('All Data'!M125:M135)/SQRT($B20))</f>
        <v>0.136977503283121</v>
      </c>
      <c r="O20" s="96" t="n">
        <f aca="false">'Data Summary'!M18</f>
        <v>0.108056816015253</v>
      </c>
      <c r="P20" s="96" t="n">
        <f aca="false">'Data Summary'!N18</f>
        <v>0.0659203906514077</v>
      </c>
      <c r="Q20" s="96" t="n">
        <f aca="false">(SUM('All Data'!K125:K135)-SUM('All Data'!F125:F135))/SUM('All Data'!F125:F135)</f>
        <v>0.0202873212583413</v>
      </c>
      <c r="R20" s="96" t="n">
        <f aca="false">IF($B20&lt;2,"N/A",TINV(0.05,$B20-1)*SQRT($B20*SUMPRODUCT((('All Data'!K125:K135-'All Data'!F125:F135)-Q20*'All Data'!F125:F135)^2)/(($B20-1)*SUM('All Data'!F125:F135)^2)))</f>
        <v>0.0876357993453873</v>
      </c>
    </row>
    <row r="21" customFormat="false" ht="15" hidden="false" customHeight="true" outlineLevel="0" collapsed="false">
      <c r="A21" s="28" t="str">
        <f aca="false">'Data Summary'!B19</f>
        <v>MR Fog Nova</v>
      </c>
      <c r="B21" s="95" t="n">
        <f aca="false">'Data Summary'!U19</f>
        <v>25</v>
      </c>
      <c r="C21" s="95" t="n">
        <f aca="false">'Data Summary'!V19</f>
        <v>1000</v>
      </c>
      <c r="D21" s="95" t="n">
        <f aca="false">MIN('All Data'!D137:D161)</f>
        <v>40</v>
      </c>
      <c r="E21" s="95" t="n">
        <f aca="false">MAX('All Data'!D137:D161)</f>
        <v>40</v>
      </c>
      <c r="F21" s="96" t="n">
        <f aca="false">AVERAGE('All Data'!L137:L161)</f>
        <v>0.006</v>
      </c>
      <c r="G21" s="96" t="n">
        <f aca="false">IF($B21&lt;2,"N/A",TINV(0.05,$B21-1)*STDEV('All Data'!L137:L161)/SQRT($B21))</f>
        <v>0.00539516401017769</v>
      </c>
      <c r="H21" s="96" t="n">
        <f aca="false">IF($B21&lt;2,"N/A",F21-G21)</f>
        <v>0.000604835989822311</v>
      </c>
      <c r="I21" s="96" t="n">
        <f aca="false">'Data Summary'!J19</f>
        <v>0.006</v>
      </c>
      <c r="J21" s="96" t="n">
        <f aca="false">'Data Summary'!K19</f>
        <v>0.00539516401017769</v>
      </c>
      <c r="K21" s="96" t="n">
        <f aca="false">(SUM('All Data'!J137:J161)-SUM('All Data'!D137:D161))/SUM('All Data'!D137:D161)</f>
        <v>0.004</v>
      </c>
      <c r="L21" s="96" t="n">
        <f aca="false">IF($B21&lt;2,"N/A",TINV(0.05,$B21-1)*SQRT($B21*SUMPRODUCT((('All Data'!J137:J161-'All Data'!D137:D161)-K21*'All Data'!D137:D161)^2)/(($B21-1)*SUM('All Data'!D137:D161)^2)))</f>
        <v>0.00571467634755389</v>
      </c>
      <c r="M21" s="96" t="n">
        <f aca="false">AVERAGE('All Data'!M137:M161)</f>
        <v>0.0830784333333333</v>
      </c>
      <c r="N21" s="96" t="n">
        <f aca="false">IF($B21&lt;2,"N/A",TINV(0.05,$B21-1)*STDEV('All Data'!M137:M161)/SQRT($B21))</f>
        <v>0.0081238308972334</v>
      </c>
      <c r="O21" s="96" t="n">
        <f aca="false">'Data Summary'!M19</f>
        <v>0.0830784333333333</v>
      </c>
      <c r="P21" s="96" t="n">
        <f aca="false">'Data Summary'!N19</f>
        <v>0.0081238308972334</v>
      </c>
      <c r="Q21" s="96" t="n">
        <f aca="false">(SUM('All Data'!K137:K161)-SUM('All Data'!F137:F161))/SUM('All Data'!F137:F161)</f>
        <v>0.0830784333333333</v>
      </c>
      <c r="R21" s="96" t="n">
        <f aca="false">IF($B21&lt;2,"N/A",TINV(0.05,$B21-1)*SQRT($B21*SUMPRODUCT((('All Data'!K137:K161-'All Data'!F137:F161)-Q21*'All Data'!F137:F161)^2)/(($B21-1)*SUM('All Data'!F137:F161)^2)))</f>
        <v>0.0081238308972334</v>
      </c>
    </row>
    <row r="22" customFormat="false" ht="15" hidden="false" customHeight="true" outlineLevel="0" collapsed="false">
      <c r="A22" s="28" t="str">
        <f aca="false">'Data Summary'!B20</f>
        <v>Njoy Ace</v>
      </c>
      <c r="B22" s="95" t="n">
        <f aca="false">'Data Summary'!U20</f>
        <v>1</v>
      </c>
      <c r="C22" s="95" t="n">
        <f aca="false">'Data Summary'!V20</f>
        <v>80</v>
      </c>
      <c r="D22" s="95" t="n">
        <f aca="false">MIN('All Data'!D58:D58)</f>
        <v>80</v>
      </c>
      <c r="E22" s="95" t="n">
        <f aca="false">MAX('All Data'!D58:D58)</f>
        <v>80</v>
      </c>
      <c r="F22" s="96" t="n">
        <f aca="false">ABS(('All Data'!J58-'All Data'!D58)/'All Data'!D58)</f>
        <v>0</v>
      </c>
      <c r="G22" s="96" t="str">
        <f aca="false">IF($B22&lt;2,"N/A",TINV(0.05,$B22-1)*STDEV('All Data'!L58:L58)/SQRT($B22))</f>
        <v>N/A</v>
      </c>
      <c r="H22" s="96" t="str">
        <f aca="false">IF($B22&lt;2,"N/A",F22-G22)</f>
        <v>N/A</v>
      </c>
      <c r="I22" s="96" t="n">
        <f aca="false">'Data Summary'!J20</f>
        <v>0</v>
      </c>
      <c r="J22" s="96" t="str">
        <f aca="false">'Data Summary'!K20</f>
        <v>N/A (n=1)</v>
      </c>
      <c r="K22" s="96" t="n">
        <f aca="false">(SUM('All Data'!J58:J58)-SUM('All Data'!D58:D58))/SUM('All Data'!D58:D58)</f>
        <v>0</v>
      </c>
      <c r="L22" s="96" t="str">
        <f aca="false">IF($B22&lt;2,"N/A",TINV(0.05,$B22-1)*SQRT($B22*SUMPRODUCT((('All Data'!J58:J58-'All Data'!D58:D58)-K22*'All Data'!D58:D58)^2)/(($B22-1)*SUM('All Data'!D58:D58)^2)))</f>
        <v>N/A</v>
      </c>
      <c r="M22" s="96" t="n">
        <f aca="false">ABS(('All Data'!K58-'All Data'!F58)/'All Data'!F58)</f>
        <v>0.188992916666667</v>
      </c>
      <c r="N22" s="96" t="str">
        <f aca="false">IF($B22&lt;2,"N/A",TINV(0.05,$B22-1)*STDEV('All Data'!M58:M58)/SQRT($B22))</f>
        <v>N/A</v>
      </c>
      <c r="O22" s="96" t="n">
        <f aca="false">'Data Summary'!M20</f>
        <v>0.188992916666667</v>
      </c>
      <c r="P22" s="96" t="str">
        <f aca="false">'Data Summary'!N20</f>
        <v>N/A (n=1)</v>
      </c>
      <c r="Q22" s="96" t="n">
        <f aca="false">(SUM('All Data'!K58:K58)-SUM('All Data'!F58:F58))/SUM('All Data'!F58:F58)</f>
        <v>0.188992916666667</v>
      </c>
      <c r="R22" s="96" t="str">
        <f aca="false">IF($B22&lt;2,"N/A",TINV(0.05,$B22-1)*SQRT($B22*SUMPRODUCT((('All Data'!K58:K58-'All Data'!F58:F58)-Q22*'All Data'!F58:F58)^2)/(($B22-1)*SUM('All Data'!F58:F58)^2)))</f>
        <v>N/A</v>
      </c>
    </row>
    <row r="23" customFormat="false" ht="15" hidden="false" customHeight="true" outlineLevel="0" collapsed="false">
      <c r="A23" s="28" t="str">
        <f aca="false">'Data Summary'!B21</f>
        <v>North 5000 Disposable</v>
      </c>
      <c r="B23" s="95" t="n">
        <f aca="false">'Data Summary'!U21</f>
        <v>6</v>
      </c>
      <c r="C23" s="95" t="n">
        <f aca="false">'Data Summary'!V21</f>
        <v>240</v>
      </c>
      <c r="D23" s="95" t="n">
        <f aca="false">MIN('All Data'!D163:D168)</f>
        <v>40</v>
      </c>
      <c r="E23" s="95" t="n">
        <f aca="false">MAX('All Data'!D163:D168)</f>
        <v>40</v>
      </c>
      <c r="F23" s="96" t="n">
        <f aca="false">AVERAGE('All Data'!L163:L168)</f>
        <v>0</v>
      </c>
      <c r="G23" s="96" t="n">
        <f aca="false">IF($B23&lt;2,"N/A",TINV(0.05,$B23-1)*STDEV('All Data'!L163:L168)/SQRT($B23))</f>
        <v>0</v>
      </c>
      <c r="H23" s="96" t="n">
        <f aca="false">IF($B23&lt;2,"N/A",F23-G23)</f>
        <v>0</v>
      </c>
      <c r="I23" s="96" t="n">
        <f aca="false">'Data Summary'!J21</f>
        <v>0</v>
      </c>
      <c r="J23" s="96" t="n">
        <f aca="false">'Data Summary'!K21</f>
        <v>0</v>
      </c>
      <c r="K23" s="96" t="n">
        <f aca="false">(SUM('All Data'!J163:J168)-SUM('All Data'!D163:D168))/SUM('All Data'!D163:D168)</f>
        <v>0</v>
      </c>
      <c r="L23" s="96" t="n">
        <f aca="false">IF($B23&lt;2,"N/A",TINV(0.05,$B23-1)*SQRT($B23*SUMPRODUCT((('All Data'!J163:J168-'All Data'!D163:D168)-K23*'All Data'!D163:D168)^2)/(($B23-1)*SUM('All Data'!D163:D168)^2)))</f>
        <v>0</v>
      </c>
      <c r="M23" s="96" t="n">
        <f aca="false">AVERAGE('All Data'!M163:M168)</f>
        <v>0.0728048611111111</v>
      </c>
      <c r="N23" s="96" t="n">
        <f aca="false">IF($B23&lt;2,"N/A",TINV(0.05,$B23-1)*STDEV('All Data'!M163:M168)/SQRT($B23))</f>
        <v>0.00685260757516621</v>
      </c>
      <c r="O23" s="96" t="n">
        <f aca="false">'Data Summary'!M21</f>
        <v>0.0728048611111111</v>
      </c>
      <c r="P23" s="96" t="n">
        <f aca="false">'Data Summary'!N21</f>
        <v>0.00685260757516621</v>
      </c>
      <c r="Q23" s="96" t="n">
        <f aca="false">(SUM('All Data'!K163:K168)-SUM('All Data'!F163:F168))/SUM('All Data'!F163:F168)</f>
        <v>0.0728048611111111</v>
      </c>
      <c r="R23" s="96" t="n">
        <f aca="false">IF($B23&lt;2,"N/A",TINV(0.05,$B23-1)*SQRT($B23*SUMPRODUCT((('All Data'!K163:K168-'All Data'!F163:F168)-Q23*'All Data'!F163:F168)^2)/(($B23-1)*SUM('All Data'!F163:F168)^2)))</f>
        <v>0.00685260757516621</v>
      </c>
    </row>
    <row r="24" customFormat="false" ht="15" hidden="false" customHeight="true" outlineLevel="0" collapsed="false">
      <c r="A24" s="28" t="str">
        <f aca="false">'Data Summary'!B22</f>
        <v>Offstamp SW 9000</v>
      </c>
      <c r="B24" s="95" t="n">
        <f aca="false">'Data Summary'!U22</f>
        <v>15</v>
      </c>
      <c r="C24" s="95" t="n">
        <f aca="false">'Data Summary'!V22</f>
        <v>600</v>
      </c>
      <c r="D24" s="95" t="n">
        <f aca="false">MIN('All Data'!D170:D184)</f>
        <v>40</v>
      </c>
      <c r="E24" s="95" t="n">
        <f aca="false">MAX('All Data'!D170:D184)</f>
        <v>40</v>
      </c>
      <c r="F24" s="96" t="n">
        <f aca="false">AVERAGE('All Data'!L170:L184)</f>
        <v>0.00666666666666667</v>
      </c>
      <c r="G24" s="96" t="n">
        <f aca="false">IF($B24&lt;2,"N/A",TINV(0.05,$B24-1)*STDEV('All Data'!L170:L184)/SQRT($B24))</f>
        <v>0.00821835121476285</v>
      </c>
      <c r="H24" s="96" t="n">
        <f aca="false">IF($B24&lt;2,"N/A",F24-G24)</f>
        <v>-0.00155168454809618</v>
      </c>
      <c r="I24" s="96" t="n">
        <f aca="false">'Data Summary'!J22</f>
        <v>0.00666666666666667</v>
      </c>
      <c r="J24" s="96" t="n">
        <f aca="false">'Data Summary'!K22</f>
        <v>0.00821835121476284</v>
      </c>
      <c r="K24" s="96" t="n">
        <f aca="false">(SUM('All Data'!J170:J184)-SUM('All Data'!D170:D184))/SUM('All Data'!D170:D184)</f>
        <v>0.00666666666666667</v>
      </c>
      <c r="L24" s="96" t="n">
        <f aca="false">IF($B24&lt;2,"N/A",TINV(0.05,$B24-1)*SQRT($B24*SUMPRODUCT((('All Data'!J170:J184-'All Data'!D170:D184)-K24*'All Data'!D170:D184)^2)/(($B24-1)*SUM('All Data'!D170:D184)^2)))</f>
        <v>0.00821835121476284</v>
      </c>
      <c r="M24" s="96" t="n">
        <f aca="false">AVERAGE('All Data'!M170:M184)</f>
        <v>0.0847402777777778</v>
      </c>
      <c r="N24" s="96" t="n">
        <f aca="false">IF($B24&lt;2,"N/A",TINV(0.05,$B24-1)*STDEV('All Data'!M170:M184)/SQRT($B24))</f>
        <v>0.00908850214957334</v>
      </c>
      <c r="O24" s="96" t="n">
        <f aca="false">'Data Summary'!M22</f>
        <v>0.0847402777777778</v>
      </c>
      <c r="P24" s="96" t="n">
        <f aca="false">'Data Summary'!N22</f>
        <v>0.00908850214957335</v>
      </c>
      <c r="Q24" s="96" t="n">
        <f aca="false">(SUM('All Data'!K170:K184)-SUM('All Data'!F170:F184))/SUM('All Data'!F170:F184)</f>
        <v>0.0847402777777778</v>
      </c>
      <c r="R24" s="96" t="n">
        <f aca="false">IF($B24&lt;2,"N/A",TINV(0.05,$B24-1)*SQRT($B24*SUMPRODUCT((('All Data'!K170:K184-'All Data'!F170:F184)-Q24*'All Data'!F170:F184)^2)/(($B24-1)*SUM('All Data'!F170:F184)^2)))</f>
        <v>0.00908850214957335</v>
      </c>
    </row>
    <row r="25" customFormat="false" ht="15" hidden="false" customHeight="true" outlineLevel="0" collapsed="false">
      <c r="A25" s="28" t="str">
        <f aca="false">'Data Summary'!B23</f>
        <v>Offstamp X cube</v>
      </c>
      <c r="B25" s="95" t="n">
        <f aca="false">'Data Summary'!U23</f>
        <v>6</v>
      </c>
      <c r="C25" s="95" t="n">
        <f aca="false">'Data Summary'!V23</f>
        <v>330</v>
      </c>
      <c r="D25" s="95" t="n">
        <f aca="false">MIN('All Data'!D237:D242)</f>
        <v>40</v>
      </c>
      <c r="E25" s="95" t="n">
        <f aca="false">MAX('All Data'!D237:D242)</f>
        <v>70</v>
      </c>
      <c r="F25" s="96" t="n">
        <f aca="false">AVERAGE('All Data'!L237:L242)</f>
        <v>0.1</v>
      </c>
      <c r="G25" s="96" t="n">
        <f aca="false">IF($B25&lt;2,"N/A",TINV(0.05,$B25-1)*STDEV('All Data'!L237:L242)/SQRT($B25))</f>
        <v>0.0983214104751621</v>
      </c>
      <c r="H25" s="96" t="n">
        <f aca="false">IF($B25&lt;2,"N/A",F25-G25)</f>
        <v>0.00167858952483795</v>
      </c>
      <c r="I25" s="96" t="n">
        <f aca="false">'Data Summary'!J23</f>
        <v>0.112121212121212</v>
      </c>
      <c r="J25" s="96" t="n">
        <f aca="false">'Data Summary'!K23</f>
        <v>0.0899343991843944</v>
      </c>
      <c r="K25" s="96" t="n">
        <f aca="false">(SUM('All Data'!J237:J242)-SUM('All Data'!D237:D242))/SUM('All Data'!D237:D242)</f>
        <v>-0.112121212121212</v>
      </c>
      <c r="L25" s="96" t="n">
        <f aca="false">IF($B25&lt;2,"N/A",TINV(0.05,$B25-1)*SQRT($B25*SUMPRODUCT((('All Data'!J237:J242-'All Data'!D237:D242)-K25*'All Data'!D237:D242)^2)/(($B25-1)*SUM('All Data'!D237:D242)^2)))</f>
        <v>0.0899343991843944</v>
      </c>
      <c r="M25" s="96" t="n">
        <f aca="false">AVERAGE('All Data'!M237:M242)</f>
        <v>0.139684503968254</v>
      </c>
      <c r="N25" s="96" t="n">
        <f aca="false">IF($B25&lt;2,"N/A",TINV(0.05,$B25-1)*STDEV('All Data'!M237:M242)/SQRT($B25))</f>
        <v>0.0795989646885614</v>
      </c>
      <c r="O25" s="96" t="n">
        <f aca="false">'Data Summary'!M23</f>
        <v>0.146550808080808</v>
      </c>
      <c r="P25" s="96" t="n">
        <f aca="false">'Data Summary'!N23</f>
        <v>0.0791067570007961</v>
      </c>
      <c r="Q25" s="96" t="n">
        <f aca="false">(SUM('All Data'!K237:K242)-SUM('All Data'!F237:F242))/SUM('All Data'!F237:F242)</f>
        <v>-0.110585757575758</v>
      </c>
      <c r="R25" s="96" t="n">
        <f aca="false">IF($B25&lt;2,"N/A",TINV(0.05,$B25-1)*SQRT($B25*SUMPRODUCT((('All Data'!K237:K242-'All Data'!F237:F242)-Q25*'All Data'!F237:F242)^2)/(($B25-1)*SUM('All Data'!F237:F242)^2)))</f>
        <v>0.127022611486844</v>
      </c>
    </row>
    <row r="26" customFormat="false" ht="15" hidden="false" customHeight="true" outlineLevel="0" collapsed="false">
      <c r="A26" s="28" t="str">
        <f aca="false">'Data Summary'!B24</f>
        <v>RAZ DC25000</v>
      </c>
      <c r="B26" s="95" t="n">
        <f aca="false">'Data Summary'!U24</f>
        <v>7</v>
      </c>
      <c r="C26" s="95" t="n">
        <f aca="false">'Data Summary'!V24</f>
        <v>502</v>
      </c>
      <c r="D26" s="95" t="n">
        <f aca="false">MIN('All Data'!D16:D22)</f>
        <v>22</v>
      </c>
      <c r="E26" s="95" t="n">
        <f aca="false">MAX('All Data'!D16:D22)</f>
        <v>80</v>
      </c>
      <c r="F26" s="96" t="n">
        <f aca="false">AVERAGE('All Data'!L16:L22)</f>
        <v>0.0125</v>
      </c>
      <c r="G26" s="96" t="n">
        <f aca="false">IF($B26&lt;2,"N/A",TINV(0.05,$B26-1)*STDEV('All Data'!L16:L22)/SQRT($B26))</f>
        <v>0.0211066199402724</v>
      </c>
      <c r="H26" s="96" t="n">
        <f aca="false">IF($B26&lt;2,"N/A",F26-G26)</f>
        <v>-0.00860661994027237</v>
      </c>
      <c r="I26" s="96" t="n">
        <f aca="false">'Data Summary'!J24</f>
        <v>0.0139442231075697</v>
      </c>
      <c r="J26" s="96" t="n">
        <f aca="false">'Data Summary'!K24</f>
        <v>0.0229146826856367</v>
      </c>
      <c r="K26" s="96" t="n">
        <f aca="false">(SUM('All Data'!J16:J22)-SUM('All Data'!D16:D22))/SUM('All Data'!D16:D22)</f>
        <v>-0.0099601593625498</v>
      </c>
      <c r="L26" s="96" t="n">
        <f aca="false">IF($B26&lt;2,"N/A",TINV(0.05,$B26-1)*SQRT($B26*SUMPRODUCT((('All Data'!J16:J22-'All Data'!D16:D22)-K26*'All Data'!D16:D22)^2)/(($B26-1)*SUM('All Data'!D16:D22)^2)))</f>
        <v>0.0251886412599955</v>
      </c>
      <c r="M26" s="96" t="n">
        <f aca="false">AVERAGE('All Data'!M16:M22)</f>
        <v>0.0388472564935065</v>
      </c>
      <c r="N26" s="96" t="n">
        <f aca="false">IF($B26&lt;2,"N/A",TINV(0.05,$B26-1)*STDEV('All Data'!M16:M22)/SQRT($B26))</f>
        <v>0.0110373217531682</v>
      </c>
      <c r="O26" s="96" t="n">
        <f aca="false">'Data Summary'!M24</f>
        <v>0.0398207835325365</v>
      </c>
      <c r="P26" s="96" t="n">
        <f aca="false">'Data Summary'!N24</f>
        <v>0.0117595673861775</v>
      </c>
      <c r="Q26" s="96" t="n">
        <f aca="false">(SUM('All Data'!K16:K22)-SUM('All Data'!F16:F22))/SUM('All Data'!F16:F22)</f>
        <v>0.0330501328021248</v>
      </c>
      <c r="R26" s="96" t="n">
        <f aca="false">IF($B26&lt;2,"N/A",TINV(0.05,$B26-1)*SQRT($B26*SUMPRODUCT((('All Data'!K16:K22-'All Data'!F16:F22)-Q26*'All Data'!F16:F22)^2)/(($B26-1)*SUM('All Data'!F16:F22)^2)))</f>
        <v>0.0262754267809712</v>
      </c>
    </row>
    <row r="27" customFormat="false" ht="15" hidden="false" customHeight="true" outlineLevel="0" collapsed="false">
      <c r="A27" s="28" t="str">
        <f aca="false">'Data Summary'!B25</f>
        <v>Tyson Heavyweight</v>
      </c>
      <c r="B27" s="95" t="n">
        <f aca="false">'Data Summary'!U25</f>
        <v>15</v>
      </c>
      <c r="C27" s="95" t="n">
        <f aca="false">'Data Summary'!V25</f>
        <v>600</v>
      </c>
      <c r="D27" s="95" t="n">
        <f aca="false">MIN('All Data'!D186:D200)</f>
        <v>40</v>
      </c>
      <c r="E27" s="95" t="n">
        <f aca="false">MAX('All Data'!D186:D200)</f>
        <v>40</v>
      </c>
      <c r="F27" s="96" t="n">
        <f aca="false">AVERAGE('All Data'!L186:L200)</f>
        <v>0.0116666666666667</v>
      </c>
      <c r="G27" s="96" t="n">
        <f aca="false">IF($B27&lt;2,"N/A",TINV(0.05,$B27-1)*STDEV('All Data'!L186:L200)/SQRT($B27))</f>
        <v>0.00714928895972601</v>
      </c>
      <c r="H27" s="96" t="n">
        <f aca="false">IF($B27&lt;2,"N/A",F27-G27)</f>
        <v>0.00451737770694065</v>
      </c>
      <c r="I27" s="96" t="n">
        <f aca="false">'Data Summary'!J25</f>
        <v>0.0116666666666667</v>
      </c>
      <c r="J27" s="96" t="n">
        <f aca="false">'Data Summary'!K25</f>
        <v>0.00714928895972601</v>
      </c>
      <c r="K27" s="96" t="n">
        <f aca="false">(SUM('All Data'!J186:J200)-SUM('All Data'!D186:D200))/SUM('All Data'!D186:D200)</f>
        <v>0.00166666666666667</v>
      </c>
      <c r="L27" s="96" t="n">
        <f aca="false">IF($B27&lt;2,"N/A",TINV(0.05,$B27-1)*SQRT($B27*SUMPRODUCT((('All Data'!J186:J200-'All Data'!D186:D200)-K27*'All Data'!D186:D200)^2)/(($B27-1)*SUM('All Data'!D186:D200)^2)))</f>
        <v>0.00974283857277146</v>
      </c>
      <c r="M27" s="96" t="n">
        <f aca="false">AVERAGE('All Data'!M186:M200)</f>
        <v>0.0840691111111111</v>
      </c>
      <c r="N27" s="96" t="n">
        <f aca="false">IF($B27&lt;2,"N/A",TINV(0.05,$B27-1)*STDEV('All Data'!M186:M200)/SQRT($B27))</f>
        <v>0.00932858361615241</v>
      </c>
      <c r="O27" s="96" t="n">
        <f aca="false">'Data Summary'!M25</f>
        <v>0.0840691111111111</v>
      </c>
      <c r="P27" s="96" t="n">
        <f aca="false">'Data Summary'!N25</f>
        <v>0.00932858361615241</v>
      </c>
      <c r="Q27" s="96" t="n">
        <f aca="false">(SUM('All Data'!K186:K200)-SUM('All Data'!F186:F200))/SUM('All Data'!F186:F200)</f>
        <v>0.0840691111111111</v>
      </c>
      <c r="R27" s="96" t="n">
        <f aca="false">IF($B27&lt;2,"N/A",TINV(0.05,$B27-1)*SQRT($B27*SUMPRODUCT((('All Data'!K186:K200-'All Data'!F186:F200)-Q27*'All Data'!F186:F200)^2)/(($B27-1)*SUM('All Data'!F186:F200)^2)))</f>
        <v>0.00932858361615241</v>
      </c>
    </row>
    <row r="28" customFormat="false" ht="15" hidden="false" customHeight="true" outlineLevel="0" collapsed="false">
      <c r="A28" s="28" t="str">
        <f aca="false">'Data Summary'!B26</f>
        <v>Viho TRX 50k</v>
      </c>
      <c r="B28" s="95" t="n">
        <f aca="false">'Data Summary'!U26</f>
        <v>8</v>
      </c>
      <c r="C28" s="95" t="n">
        <f aca="false">'Data Summary'!V26</f>
        <v>826</v>
      </c>
      <c r="D28" s="95" t="n">
        <f aca="false">MIN('All Data'!D202:D209)</f>
        <v>40</v>
      </c>
      <c r="E28" s="95" t="n">
        <f aca="false">MAX('All Data'!D202:D209)</f>
        <v>176</v>
      </c>
      <c r="F28" s="96" t="n">
        <f aca="false">AVERAGE('All Data'!L202:L209)</f>
        <v>0.00914614898989899</v>
      </c>
      <c r="G28" s="96" t="n">
        <f aca="false">IF($B28&lt;2,"N/A",TINV(0.05,$B28-1)*STDEV('All Data'!L202:L209)/SQRT($B28))</f>
        <v>0.0160668908402231</v>
      </c>
      <c r="H28" s="96" t="n">
        <f aca="false">IF($B28&lt;2,"N/A",F28-G28)</f>
        <v>-0.00692074185032413</v>
      </c>
      <c r="I28" s="96" t="n">
        <f aca="false">'Data Summary'!J26</f>
        <v>0.00968523002421308</v>
      </c>
      <c r="J28" s="96" t="n">
        <f aca="false">'Data Summary'!K26</f>
        <v>0.0141358298570421</v>
      </c>
      <c r="K28" s="96" t="n">
        <f aca="false">(SUM('All Data'!J202:J209)-SUM('All Data'!D202:D209))/SUM('All Data'!D202:D209)</f>
        <v>-0.00968523002421308</v>
      </c>
      <c r="L28" s="96" t="n">
        <f aca="false">IF($B28&lt;2,"N/A",TINV(0.05,$B28-1)*SQRT($B28*SUMPRODUCT((('All Data'!J202:J209-'All Data'!D202:D209)-K28*'All Data'!D202:D209)^2)/(($B28-1)*SUM('All Data'!D202:D209)^2)))</f>
        <v>0.0141358298570421</v>
      </c>
      <c r="M28" s="96" t="n">
        <f aca="false">AVERAGE('All Data'!M202:M209)</f>
        <v>0.0641328069760101</v>
      </c>
      <c r="N28" s="96" t="n">
        <f aca="false">IF($B28&lt;2,"N/A",TINV(0.05,$B28-1)*STDEV('All Data'!M202:M209)/SQRT($B28))</f>
        <v>0.0174786235596662</v>
      </c>
      <c r="O28" s="96" t="n">
        <f aca="false">'Data Summary'!M26</f>
        <v>0.0638036319612591</v>
      </c>
      <c r="P28" s="96" t="n">
        <f aca="false">'Data Summary'!N26</f>
        <v>0.0148436189864654</v>
      </c>
      <c r="Q28" s="96" t="n">
        <f aca="false">(SUM('All Data'!K202:K209)-SUM('All Data'!F202:F209))/SUM('All Data'!F202:F209)</f>
        <v>0.063803631961259</v>
      </c>
      <c r="R28" s="96" t="n">
        <f aca="false">IF($B28&lt;2,"N/A",TINV(0.05,$B28-1)*SQRT($B28*SUMPRODUCT((('All Data'!K202:K209-'All Data'!F202:F209)-Q28*'All Data'!F202:F209)^2)/(($B28-1)*SUM('All Data'!F202:F209)^2)))</f>
        <v>0.0148436189864654</v>
      </c>
    </row>
    <row r="29" customFormat="false" ht="15" hidden="false" customHeight="true" outlineLevel="0" collapsed="false">
      <c r="A29" s="28" t="str">
        <f aca="false">'Data Summary'!B28</f>
        <v>Fogger Switch Pro</v>
      </c>
      <c r="B29" s="95" t="n">
        <f aca="false">'Data Summary'!U28</f>
        <v>4</v>
      </c>
      <c r="C29" s="95" t="n">
        <f aca="false">'Data Summary'!V28</f>
        <v>400</v>
      </c>
      <c r="D29" s="95" t="n">
        <f aca="false">MIN('All Data'!D214:D217)</f>
        <v>100</v>
      </c>
      <c r="E29" s="95" t="n">
        <f aca="false">MAX('All Data'!D214:D217)</f>
        <v>100</v>
      </c>
      <c r="F29" s="96" t="n">
        <f aca="false">AVERAGE('All Data'!L214:L217)</f>
        <v>0.35</v>
      </c>
      <c r="G29" s="96" t="n">
        <f aca="false">IF($B29&lt;2,"N/A",TINV(0.05,$B29-1)*STDEV('All Data'!L214:L217)/SQRT($B29))</f>
        <v>0.585085634439328</v>
      </c>
      <c r="H29" s="96" t="n">
        <f aca="false">IF($B29&lt;2,"N/A",F29-G29)</f>
        <v>-0.235085634439328</v>
      </c>
      <c r="I29" s="96" t="n">
        <f aca="false">'Data Summary'!J28</f>
        <v>0.35</v>
      </c>
      <c r="J29" s="96" t="n">
        <f aca="false">'Data Summary'!K28</f>
        <v>0.585085634439328</v>
      </c>
      <c r="K29" s="96" t="n">
        <f aca="false">(SUM('All Data'!J214:J217)-SUM('All Data'!D214:D217))/SUM('All Data'!D214:D217)</f>
        <v>-0.35</v>
      </c>
      <c r="L29" s="96" t="n">
        <f aca="false">IF($B29&lt;2,"N/A",TINV(0.05,$B29-1)*SQRT($B29*SUMPRODUCT((('All Data'!J214:J217-'All Data'!D214:D217)-K29*'All Data'!D214:D217)^2)/(($B29-1)*SUM('All Data'!D214:D217)^2)))</f>
        <v>0.585085634439328</v>
      </c>
      <c r="M29" s="96" t="n">
        <f aca="false">AVERAGE('All Data'!M214:M217)</f>
        <v>0.335537916666667</v>
      </c>
      <c r="N29" s="96" t="n">
        <f aca="false">IF($B29&lt;2,"N/A",TINV(0.05,$B29-1)*STDEV('All Data'!M214:M217)/SQRT($B29))</f>
        <v>0.600073003798117</v>
      </c>
      <c r="O29" s="96" t="n">
        <f aca="false">'Data Summary'!M28</f>
        <v>0.335537916666667</v>
      </c>
      <c r="P29" s="96" t="n">
        <f aca="false">'Data Summary'!N28</f>
        <v>0.600073003798117</v>
      </c>
      <c r="Q29" s="96" t="n">
        <f aca="false">(SUM('All Data'!K214:K217)-SUM('All Data'!F214:F217))/SUM('All Data'!F214:F217)</f>
        <v>-0.335537916666667</v>
      </c>
      <c r="R29" s="96" t="n">
        <f aca="false">IF($B29&lt;2,"N/A",TINV(0.05,$B29-1)*SQRT($B29*SUMPRODUCT((('All Data'!K214:K217-'All Data'!F214:F217)-Q29*'All Data'!F214:F217)^2)/(($B29-1)*SUM('All Data'!F214:F217)^2)))</f>
        <v>0.600073003798117</v>
      </c>
    </row>
    <row r="30" customFormat="false" ht="15" hidden="false" customHeight="true" outlineLevel="0" collapsed="false">
      <c r="A30" s="28" t="str">
        <f aca="false">'Data Summary'!B29</f>
        <v>Juul 2</v>
      </c>
      <c r="B30" s="95" t="n">
        <f aca="false">'Data Summary'!U29</f>
        <v>3</v>
      </c>
      <c r="C30" s="95" t="n">
        <f aca="false">'Data Summary'!V29</f>
        <v>240</v>
      </c>
      <c r="D30" s="95" t="n">
        <f aca="false">MIN('All Data'!D219:D221)</f>
        <v>80</v>
      </c>
      <c r="E30" s="95" t="n">
        <f aca="false">MAX('All Data'!D219:D221)</f>
        <v>80</v>
      </c>
      <c r="F30" s="96" t="n">
        <f aca="false">AVERAGE('All Data'!L219:L221)</f>
        <v>0.995833333333333</v>
      </c>
      <c r="G30" s="96" t="n">
        <f aca="false">IF($B30&lt;2,"N/A",TINV(0.05,$B30-1)*STDEV('All Data'!L219:L221)/SQRT($B30))</f>
        <v>0.0179277197072894</v>
      </c>
      <c r="H30" s="96" t="n">
        <f aca="false">IF($B30&lt;2,"N/A",F30-G30)</f>
        <v>0.977905613626044</v>
      </c>
      <c r="I30" s="96" t="n">
        <f aca="false">'Data Summary'!J29</f>
        <v>0.995833333333333</v>
      </c>
      <c r="J30" s="96" t="n">
        <f aca="false">'Data Summary'!K29</f>
        <v>0.0179277197072894</v>
      </c>
      <c r="K30" s="96" t="n">
        <f aca="false">(SUM('All Data'!J219:J221)-SUM('All Data'!D219:D221))/SUM('All Data'!D219:D221)</f>
        <v>-0.995833333333333</v>
      </c>
      <c r="L30" s="96" t="n">
        <f aca="false">IF($B30&lt;2,"N/A",TINV(0.05,$B30-1)*SQRT($B30*SUMPRODUCT((('All Data'!J219:J221-'All Data'!D219:D221)-K30*'All Data'!D219:D221)^2)/(($B30-1)*SUM('All Data'!D219:D221)^2)))</f>
        <v>0.0179277197072894</v>
      </c>
      <c r="M30" s="96" t="n">
        <f aca="false">AVERAGE('All Data'!M219:M221)</f>
        <v>0.99944</v>
      </c>
      <c r="N30" s="96" t="n">
        <f aca="false">IF($B30&lt;2,"N/A",TINV(0.05,$B30-1)*STDEV('All Data'!M219:M221)/SQRT($B30))</f>
        <v>0.00240948552865972</v>
      </c>
      <c r="O30" s="96" t="n">
        <f aca="false">'Data Summary'!M29</f>
        <v>0.99944</v>
      </c>
      <c r="P30" s="96" t="n">
        <f aca="false">'Data Summary'!N29</f>
        <v>0.00240948552865969</v>
      </c>
      <c r="Q30" s="96" t="n">
        <f aca="false">(SUM('All Data'!K219:K221)-SUM('All Data'!F219:F221))/SUM('All Data'!F219:F221)</f>
        <v>-0.99944</v>
      </c>
      <c r="R30" s="96" t="n">
        <f aca="false">IF($B30&lt;2,"N/A",TINV(0.05,$B30-1)*SQRT($B30*SUMPRODUCT((('All Data'!K219:K221-'All Data'!F219:F221)-Q30*'All Data'!F219:F221)^2)/(($B30-1)*SUM('All Data'!F219:F221)^2)))</f>
        <v>0.00240948552865969</v>
      </c>
    </row>
    <row r="31" customFormat="false" ht="15" hidden="false" customHeight="true" outlineLevel="0" collapsed="false">
      <c r="A31" s="28" t="str">
        <f aca="false">'Data Summary'!B30</f>
        <v>KangerTech SUBOX</v>
      </c>
      <c r="B31" s="95" t="n">
        <f aca="false">'Data Summary'!U30</f>
        <v>5</v>
      </c>
      <c r="C31" s="95" t="n">
        <f aca="false">'Data Summary'!V30</f>
        <v>650</v>
      </c>
      <c r="D31" s="95" t="n">
        <f aca="false">MIN('All Data'!D223:D227)</f>
        <v>120</v>
      </c>
      <c r="E31" s="95" t="n">
        <f aca="false">MAX('All Data'!D223:D227)</f>
        <v>140</v>
      </c>
      <c r="F31" s="96" t="n">
        <f aca="false">AVERAGE('All Data'!L223:L227)</f>
        <v>0.767655677655678</v>
      </c>
      <c r="G31" s="96" t="n">
        <f aca="false">IF($B31&lt;2,"N/A",TINV(0.05,$B31-1)*STDEV('All Data'!L223:L227)/SQRT($B31))</f>
        <v>0.0508256182784231</v>
      </c>
      <c r="H31" s="96" t="n">
        <f aca="false">IF($B31&lt;2,"N/A",F31-G31)</f>
        <v>0.716830059377255</v>
      </c>
      <c r="I31" s="96" t="n">
        <f aca="false">'Data Summary'!J30</f>
        <v>0.769230769230769</v>
      </c>
      <c r="J31" s="96" t="n">
        <f aca="false">'Data Summary'!K30</f>
        <v>0.0527894839764502</v>
      </c>
      <c r="K31" s="96" t="n">
        <f aca="false">(SUM('All Data'!J223:J227)-SUM('All Data'!D223:D227))/SUM('All Data'!D223:D227)</f>
        <v>-0.769230769230769</v>
      </c>
      <c r="L31" s="96" t="n">
        <f aca="false">IF($B31&lt;2,"N/A",TINV(0.05,$B31-1)*SQRT($B31*SUMPRODUCT((('All Data'!J223:J227-'All Data'!D223:D227)-K31*'All Data'!D223:D227)^2)/(($B31-1)*SUM('All Data'!D223:D227)^2)))</f>
        <v>0.0527894839764502</v>
      </c>
      <c r="M31" s="96" t="n">
        <f aca="false">AVERAGE('All Data'!M223:M227)</f>
        <v>0.799180302808303</v>
      </c>
      <c r="N31" s="96" t="n">
        <f aca="false">IF($B31&lt;2,"N/A",TINV(0.05,$B31-1)*STDEV('All Data'!M223:M227)/SQRT($B31))</f>
        <v>0.109489039287636</v>
      </c>
      <c r="O31" s="96" t="n">
        <f aca="false">'Data Summary'!M30</f>
        <v>0.802361128205128</v>
      </c>
      <c r="P31" s="96" t="n">
        <f aca="false">'Data Summary'!N30</f>
        <v>0.11525877996707</v>
      </c>
      <c r="Q31" s="96" t="n">
        <f aca="false">(SUM('All Data'!K223:K227)-SUM('All Data'!F223:F227))/SUM('All Data'!F223:F227)</f>
        <v>-0.802361128205128</v>
      </c>
      <c r="R31" s="96" t="n">
        <f aca="false">IF($B31&lt;2,"N/A",TINV(0.05,$B31-1)*SQRT($B31*SUMPRODUCT((('All Data'!K223:K227-'All Data'!F223:F227)-Q31*'All Data'!F223:F227)^2)/(($B31-1)*SUM('All Data'!F223:F227)^2)))</f>
        <v>0.11525877996707</v>
      </c>
    </row>
    <row r="32" customFormat="false" ht="15" hidden="false" customHeight="true" outlineLevel="0" collapsed="false">
      <c r="A32" s="28" t="str">
        <f aca="false">'Data Summary'!B31</f>
        <v>LostMary OS5000</v>
      </c>
      <c r="B32" s="95" t="n">
        <f aca="false">'Data Summary'!U31</f>
        <v>7</v>
      </c>
      <c r="C32" s="95" t="n">
        <f aca="false">'Data Summary'!V31</f>
        <v>560</v>
      </c>
      <c r="D32" s="95" t="n">
        <f aca="false">MIN('All Data'!D229:D235)</f>
        <v>80</v>
      </c>
      <c r="E32" s="95" t="n">
        <f aca="false">MAX('All Data'!D229:D235)</f>
        <v>80</v>
      </c>
      <c r="F32" s="96" t="n">
        <f aca="false">AVERAGE('All Data'!L229:L235)</f>
        <v>0.417857142857143</v>
      </c>
      <c r="G32" s="96" t="n">
        <f aca="false">IF($B32&lt;2,"N/A",TINV(0.05,$B32-1)*STDEV('All Data'!L229:L235)/SQRT($B32))</f>
        <v>0.157644995739007</v>
      </c>
      <c r="H32" s="96" t="n">
        <f aca="false">IF($B32&lt;2,"N/A",F32-G32)</f>
        <v>0.260212147118135</v>
      </c>
      <c r="I32" s="96" t="n">
        <f aca="false">'Data Summary'!J31</f>
        <v>0.417857142857143</v>
      </c>
      <c r="J32" s="96" t="n">
        <f aca="false">'Data Summary'!K31</f>
        <v>0.157644995739007</v>
      </c>
      <c r="K32" s="96" t="n">
        <f aca="false">(SUM('All Data'!J229:J235)-SUM('All Data'!D229:D235))/SUM('All Data'!D229:D235)</f>
        <v>-0.417857142857143</v>
      </c>
      <c r="L32" s="96" t="n">
        <f aca="false">IF($B32&lt;2,"N/A",TINV(0.05,$B32-1)*SQRT($B32*SUMPRODUCT((('All Data'!J229:J235-'All Data'!D229:D235)-K32*'All Data'!D229:D235)^2)/(($B32-1)*SUM('All Data'!D229:D235)^2)))</f>
        <v>0.157644995739007</v>
      </c>
      <c r="M32" s="96" t="n">
        <f aca="false">AVERAGE('All Data'!M229:M235)</f>
        <v>0.530912202380952</v>
      </c>
      <c r="N32" s="96" t="n">
        <f aca="false">IF($B32&lt;2,"N/A",TINV(0.05,$B32-1)*STDEV('All Data'!M229:M235)/SQRT($B32))</f>
        <v>0.223405628810436</v>
      </c>
      <c r="O32" s="96" t="n">
        <f aca="false">'Data Summary'!M31</f>
        <v>0.530912202380952</v>
      </c>
      <c r="P32" s="96" t="n">
        <f aca="false">'Data Summary'!N31</f>
        <v>0.223405628810436</v>
      </c>
      <c r="Q32" s="96" t="n">
        <f aca="false">(SUM('All Data'!K229:K235)-SUM('All Data'!F229:F235))/SUM('All Data'!F229:F235)</f>
        <v>-0.530912202380952</v>
      </c>
      <c r="R32" s="96" t="n">
        <f aca="false">IF($B32&lt;2,"N/A",TINV(0.05,$B32-1)*SQRT($B32*SUMPRODUCT((('All Data'!K229:K235-'All Data'!F229:F235)-Q32*'All Data'!F229:F235)^2)/(($B32-1)*SUM('All Data'!F229:F235)^2)))</f>
        <v>0.223405628810436</v>
      </c>
    </row>
    <row r="35" customFormat="false" ht="15" hidden="false" customHeight="true" outlineLevel="0" collapsed="false">
      <c r="A35" s="97" t="s">
        <v>74</v>
      </c>
    </row>
    <row r="36" customFormat="false" ht="15" hidden="false" customHeight="true" outlineLevel="0" collapsed="false">
      <c r="A36" s="28" t="s">
        <v>75</v>
      </c>
    </row>
    <row r="37" customFormat="false" ht="15" hidden="false" customHeight="true" outlineLevel="0" collapsed="false">
      <c r="A37" s="28" t="s">
        <v>76</v>
      </c>
    </row>
    <row r="38" customFormat="false" ht="15" hidden="false" customHeight="true" outlineLevel="0" collapsed="false">
      <c r="A38" s="28" t="s">
        <v>77</v>
      </c>
    </row>
    <row r="39" customFormat="false" ht="15" hidden="false" customHeight="true" outlineLevel="0" collapsed="false">
      <c r="A39" s="28"/>
    </row>
    <row r="40" customFormat="false" ht="15" hidden="false" customHeight="true" outlineLevel="0" collapsed="false">
      <c r="A40" s="97" t="s">
        <v>78</v>
      </c>
    </row>
    <row r="41" customFormat="false" ht="15" hidden="false" customHeight="true" outlineLevel="0" collapsed="false">
      <c r="A41" s="28" t="s">
        <v>79</v>
      </c>
    </row>
    <row r="42" customFormat="false" ht="15" hidden="false" customHeight="true" outlineLevel="0" collapsed="false">
      <c r="A42" s="28" t="s">
        <v>80</v>
      </c>
    </row>
    <row r="43" customFormat="false" ht="15" hidden="false" customHeight="true" outlineLevel="0" collapsed="false">
      <c r="A43" s="28" t="s">
        <v>81</v>
      </c>
    </row>
    <row r="44" customFormat="false" ht="15" hidden="false" customHeight="true" outlineLevel="0" collapsed="false">
      <c r="A44" s="28" t="s">
        <v>82</v>
      </c>
    </row>
    <row r="45" customFormat="false" ht="15" hidden="false" customHeight="true" outlineLevel="0" collapsed="false">
      <c r="A45" s="28" t="s">
        <v>83</v>
      </c>
    </row>
    <row r="46" customFormat="false" ht="15" hidden="false" customHeight="true" outlineLevel="0" collapsed="false">
      <c r="A46" s="28"/>
    </row>
    <row r="47" customFormat="false" ht="15" hidden="false" customHeight="true" outlineLevel="0" collapsed="false">
      <c r="A47" s="97" t="s">
        <v>84</v>
      </c>
    </row>
    <row r="48" customFormat="false" ht="15" hidden="false" customHeight="true" outlineLevel="0" collapsed="false">
      <c r="A48" s="28" t="s">
        <v>85</v>
      </c>
    </row>
    <row r="49" customFormat="false" ht="15" hidden="false" customHeight="true" outlineLevel="0" collapsed="false">
      <c r="A49" s="28" t="s">
        <v>86</v>
      </c>
    </row>
    <row r="50" customFormat="false" ht="15" hidden="false" customHeight="true" outlineLevel="0" collapsed="false">
      <c r="A50" s="28" t="s">
        <v>87</v>
      </c>
    </row>
    <row r="51" customFormat="false" ht="15" hidden="false" customHeight="true" outlineLevel="0" collapsed="false">
      <c r="A51" s="28" t="s">
        <v>88</v>
      </c>
    </row>
    <row r="52" customFormat="false" ht="15" hidden="false" customHeight="true" outlineLevel="0" collapsed="false">
      <c r="A52" s="28" t="s">
        <v>89</v>
      </c>
    </row>
    <row r="53" customFormat="false" ht="15" hidden="false" customHeight="true" outlineLevel="0" collapsed="false">
      <c r="A53" s="28" t="s">
        <v>90</v>
      </c>
    </row>
    <row r="54" customFormat="false" ht="15" hidden="false" customHeight="true" outlineLevel="0" collapsed="false">
      <c r="A54" s="28"/>
    </row>
    <row r="55" customFormat="false" ht="15" hidden="false" customHeight="true" outlineLevel="0" collapsed="false">
      <c r="A55" s="97" t="s">
        <v>91</v>
      </c>
    </row>
    <row r="56" customFormat="false" ht="15" hidden="false" customHeight="true" outlineLevel="0" collapsed="false">
      <c r="A56" s="28" t="s">
        <v>92</v>
      </c>
    </row>
    <row r="57" customFormat="false" ht="15" hidden="false" customHeight="true" outlineLevel="0" collapsed="false">
      <c r="A57" s="28" t="s">
        <v>93</v>
      </c>
    </row>
    <row r="58" customFormat="false" ht="15" hidden="false" customHeight="true" outlineLevel="0" collapsed="false">
      <c r="A58" s="28" t="s">
        <v>94</v>
      </c>
    </row>
    <row r="59" customFormat="false" ht="15" hidden="false" customHeight="true" outlineLevel="0" collapsed="false">
      <c r="A59" s="28"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U2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L3" activeCellId="0" sqref="L3"/>
    </sheetView>
  </sheetViews>
  <sheetFormatPr defaultColWidth="8.71484375" defaultRowHeight="15" zeroHeight="false" outlineLevelRow="0" outlineLevelCol="0"/>
  <cols>
    <col collapsed="false" customWidth="true" hidden="false" outlineLevel="0" max="2" min="2" style="1" width="24.71"/>
    <col collapsed="false" customWidth="true" hidden="false" outlineLevel="0" max="3" min="3" style="1" width="13.42"/>
    <col collapsed="false" customWidth="true" hidden="false" outlineLevel="0" max="4" min="4" style="1" width="15.14"/>
    <col collapsed="false" customWidth="true" hidden="false" outlineLevel="0" max="5" min="5" style="1" width="17"/>
    <col collapsed="false" customWidth="true" hidden="false" outlineLevel="0" max="6" min="6" style="1" width="14.86"/>
    <col collapsed="false" customWidth="true" hidden="false" outlineLevel="0" max="7" min="7" style="1" width="14"/>
    <col collapsed="false" customWidth="true" hidden="false" outlineLevel="0" max="8" min="8" style="1" width="15.29"/>
    <col collapsed="false" customWidth="true" hidden="false" outlineLevel="0" max="9" min="9" style="1" width="17.29"/>
    <col collapsed="false" customWidth="true" hidden="false" outlineLevel="0" max="10" min="10" style="1" width="12.57"/>
    <col collapsed="false" customWidth="true" hidden="false" outlineLevel="0" max="11" min="11" style="1" width="22.42"/>
    <col collapsed="false" customWidth="true" hidden="false" outlineLevel="0" max="12" min="12" style="1" width="17.15"/>
    <col collapsed="false" customWidth="true" hidden="false" outlineLevel="0" max="13" min="13" style="1" width="17"/>
  </cols>
  <sheetData>
    <row r="1" customFormat="false" ht="15" hidden="false" customHeight="true" outlineLevel="0" collapsed="false">
      <c r="B1" s="98"/>
      <c r="C1" s="99"/>
      <c r="D1" s="100"/>
      <c r="E1" s="101"/>
      <c r="F1" s="101"/>
      <c r="G1" s="101"/>
      <c r="H1" s="101"/>
      <c r="I1" s="101"/>
      <c r="J1" s="102"/>
      <c r="K1" s="103"/>
      <c r="L1" s="104"/>
      <c r="M1" s="105"/>
    </row>
    <row r="2" customFormat="false" ht="14.25" hidden="false" customHeight="true" outlineLevel="0" collapsed="false">
      <c r="B2" s="98" t="s">
        <v>3</v>
      </c>
      <c r="C2" s="99" t="s">
        <v>96</v>
      </c>
      <c r="D2" s="100" t="s">
        <v>4</v>
      </c>
      <c r="E2" s="101" t="s">
        <v>97</v>
      </c>
      <c r="F2" s="101" t="s">
        <v>6</v>
      </c>
      <c r="G2" s="101" t="s">
        <v>7</v>
      </c>
      <c r="H2" s="101" t="s">
        <v>8</v>
      </c>
      <c r="I2" s="101" t="s">
        <v>9</v>
      </c>
      <c r="J2" s="102" t="s">
        <v>10</v>
      </c>
      <c r="K2" s="103" t="s">
        <v>98</v>
      </c>
      <c r="L2" s="104" t="s">
        <v>99</v>
      </c>
      <c r="M2" s="105" t="s">
        <v>100</v>
      </c>
      <c r="R2" s="35"/>
      <c r="S2" s="35"/>
      <c r="T2" s="35"/>
      <c r="U2" s="35"/>
    </row>
    <row r="3" customFormat="false" ht="14.25" hidden="false" customHeight="true" outlineLevel="0" collapsed="false">
      <c r="B3" s="106" t="s">
        <v>32</v>
      </c>
      <c r="C3" s="107" t="n">
        <v>1</v>
      </c>
      <c r="D3" s="100" t="n">
        <v>80</v>
      </c>
      <c r="E3" s="101" t="n">
        <v>3</v>
      </c>
      <c r="F3" s="101" t="n">
        <f aca="false">D3*E3</f>
        <v>240</v>
      </c>
      <c r="G3" s="101" t="n">
        <v>18</v>
      </c>
      <c r="H3" s="101" t="n">
        <v>120</v>
      </c>
      <c r="I3" s="101" t="n">
        <v>40</v>
      </c>
      <c r="J3" s="34" t="n">
        <v>80</v>
      </c>
      <c r="K3" s="35" t="n">
        <v>238.7464</v>
      </c>
      <c r="L3" s="35" t="n">
        <f aca="false">ABS((J3-D3)/D3)</f>
        <v>0</v>
      </c>
      <c r="M3" s="36" t="n">
        <f aca="false">ABS((K3-F3)/F3)</f>
        <v>0.00522333333333336</v>
      </c>
      <c r="R3" s="35"/>
      <c r="S3" s="35"/>
      <c r="T3" s="35"/>
      <c r="U3" s="35"/>
    </row>
    <row r="4" customFormat="false" ht="14.25" hidden="false" customHeight="true" outlineLevel="0" collapsed="false">
      <c r="B4" s="106"/>
      <c r="C4" s="1" t="n">
        <v>2</v>
      </c>
      <c r="D4" s="34" t="n">
        <v>80</v>
      </c>
      <c r="E4" s="35" t="n">
        <v>3</v>
      </c>
      <c r="F4" s="35" t="n">
        <f aca="false">D4*E4</f>
        <v>240</v>
      </c>
      <c r="G4" s="35" t="n">
        <v>18</v>
      </c>
      <c r="H4" s="35" t="n">
        <v>120</v>
      </c>
      <c r="I4" s="35" t="n">
        <v>40</v>
      </c>
      <c r="J4" s="34" t="n">
        <v>80</v>
      </c>
      <c r="K4" s="35" t="n">
        <v>244.4862</v>
      </c>
      <c r="L4" s="35" t="n">
        <f aca="false">ABS((J4-D4)/D4)</f>
        <v>0</v>
      </c>
      <c r="M4" s="36" t="n">
        <f aca="false">ABS((K4-F4)/F4)</f>
        <v>0.0186925</v>
      </c>
      <c r="R4" s="35"/>
      <c r="S4" s="35"/>
      <c r="T4" s="35"/>
      <c r="U4" s="35"/>
    </row>
    <row r="5" customFormat="false" ht="14.25" hidden="false" customHeight="true" outlineLevel="0" collapsed="false">
      <c r="B5" s="106"/>
      <c r="C5" s="1" t="n">
        <v>3</v>
      </c>
      <c r="D5" s="34" t="n">
        <v>80</v>
      </c>
      <c r="E5" s="35" t="n">
        <v>3</v>
      </c>
      <c r="F5" s="35" t="n">
        <f aca="false">D5*E5</f>
        <v>240</v>
      </c>
      <c r="G5" s="35" t="n">
        <v>18</v>
      </c>
      <c r="H5" s="35" t="n">
        <v>120</v>
      </c>
      <c r="I5" s="35" t="n">
        <v>40</v>
      </c>
      <c r="J5" s="34" t="n">
        <v>80</v>
      </c>
      <c r="K5" s="35" t="n">
        <v>250.0572</v>
      </c>
      <c r="L5" s="35" t="n">
        <f aca="false">ABS((J5-D5)/D5)</f>
        <v>0</v>
      </c>
      <c r="M5" s="36" t="n">
        <f aca="false">ABS((K5-F5)/F5)</f>
        <v>0.041905</v>
      </c>
      <c r="R5" s="35"/>
      <c r="S5" s="35"/>
      <c r="T5" s="35"/>
      <c r="U5" s="35"/>
    </row>
    <row r="6" customFormat="false" ht="14.25" hidden="false" customHeight="true" outlineLevel="0" collapsed="false">
      <c r="B6" s="106"/>
      <c r="C6" s="1" t="n">
        <v>4</v>
      </c>
      <c r="D6" s="34" t="n">
        <v>80</v>
      </c>
      <c r="E6" s="35" t="n">
        <v>3</v>
      </c>
      <c r="F6" s="35" t="n">
        <f aca="false">D6*E6</f>
        <v>240</v>
      </c>
      <c r="G6" s="35" t="n">
        <v>18</v>
      </c>
      <c r="H6" s="35" t="n">
        <v>120</v>
      </c>
      <c r="I6" s="35" t="n">
        <v>40</v>
      </c>
      <c r="J6" s="34" t="n">
        <v>80</v>
      </c>
      <c r="K6" s="35" t="n">
        <v>249.418</v>
      </c>
      <c r="L6" s="35" t="n">
        <f aca="false">ABS((J6-D6)/D6)</f>
        <v>0</v>
      </c>
      <c r="M6" s="36" t="n">
        <f aca="false">ABS((K6-F6)/F6)</f>
        <v>0.0392416666666667</v>
      </c>
      <c r="R6" s="35"/>
      <c r="S6" s="35"/>
      <c r="T6" s="35"/>
      <c r="U6" s="35"/>
    </row>
    <row r="7" customFormat="false" ht="14.25" hidden="false" customHeight="true" outlineLevel="0" collapsed="false">
      <c r="B7" s="106"/>
      <c r="C7" s="1" t="n">
        <v>5</v>
      </c>
      <c r="D7" s="34" t="n">
        <v>80</v>
      </c>
      <c r="E7" s="35" t="n">
        <v>3</v>
      </c>
      <c r="F7" s="35" t="n">
        <f aca="false">D7*E7</f>
        <v>240</v>
      </c>
      <c r="G7" s="35" t="n">
        <v>18</v>
      </c>
      <c r="H7" s="35" t="n">
        <v>120</v>
      </c>
      <c r="I7" s="35" t="n">
        <v>40</v>
      </c>
      <c r="J7" s="34" t="n">
        <v>80</v>
      </c>
      <c r="K7" s="35" t="n">
        <v>248.3032</v>
      </c>
      <c r="L7" s="35" t="n">
        <f aca="false">ABS((J7-D7)/D7)</f>
        <v>0</v>
      </c>
      <c r="M7" s="36" t="n">
        <f aca="false">ABS((K7-F7)/F7)</f>
        <v>0.0345966666666667</v>
      </c>
      <c r="R7" s="35"/>
      <c r="S7" s="35"/>
      <c r="T7" s="35"/>
      <c r="U7" s="35"/>
    </row>
    <row r="8" customFormat="false" ht="14.25" hidden="false" customHeight="true" outlineLevel="0" collapsed="false">
      <c r="B8" s="106"/>
      <c r="C8" s="1" t="n">
        <v>6</v>
      </c>
      <c r="D8" s="34" t="n">
        <v>48</v>
      </c>
      <c r="E8" s="35" t="n">
        <v>3</v>
      </c>
      <c r="F8" s="35" t="n">
        <f aca="false">D8*E8</f>
        <v>144</v>
      </c>
      <c r="G8" s="35" t="n">
        <v>18</v>
      </c>
      <c r="H8" s="35" t="n">
        <v>120</v>
      </c>
      <c r="I8" s="35" t="n">
        <v>40</v>
      </c>
      <c r="J8" s="34" t="n">
        <v>48</v>
      </c>
      <c r="K8" s="35" t="n">
        <v>149.2471</v>
      </c>
      <c r="L8" s="35" t="n">
        <f aca="false">ABS((J8-D8)/D8)</f>
        <v>0</v>
      </c>
      <c r="M8" s="36" t="n">
        <f aca="false">ABS((K8-F8)/F8)</f>
        <v>0.0364381944444444</v>
      </c>
      <c r="R8" s="35"/>
      <c r="S8" s="35"/>
      <c r="T8" s="35"/>
      <c r="U8" s="35"/>
    </row>
    <row r="9" customFormat="false" ht="14.25" hidden="false" customHeight="true" outlineLevel="0" collapsed="false">
      <c r="B9" s="106"/>
      <c r="C9" s="108" t="s">
        <v>101</v>
      </c>
      <c r="D9" s="109" t="n">
        <f aca="false">SUM(D3:D8)</f>
        <v>448</v>
      </c>
      <c r="E9" s="110" t="s">
        <v>102</v>
      </c>
      <c r="F9" s="110" t="n">
        <f aca="false">SUM(F3:F8)</f>
        <v>1344</v>
      </c>
      <c r="G9" s="110" t="s">
        <v>102</v>
      </c>
      <c r="H9" s="110" t="s">
        <v>102</v>
      </c>
      <c r="I9" s="110" t="s">
        <v>102</v>
      </c>
      <c r="J9" s="109" t="n">
        <f aca="false">SUM(J3:J8)</f>
        <v>448</v>
      </c>
      <c r="K9" s="110" t="n">
        <f aca="false">SUM(K3:K8)</f>
        <v>1380.2581</v>
      </c>
      <c r="L9" s="63"/>
      <c r="M9" s="64"/>
      <c r="R9" s="35"/>
      <c r="S9" s="35"/>
      <c r="T9" s="35"/>
      <c r="U9" s="35"/>
    </row>
    <row r="10" customFormat="false" ht="14.25" hidden="false" customHeight="true" outlineLevel="0" collapsed="false">
      <c r="B10" s="106" t="s">
        <v>35</v>
      </c>
      <c r="C10" s="107" t="n">
        <v>1</v>
      </c>
      <c r="D10" s="34" t="n">
        <v>80</v>
      </c>
      <c r="E10" s="35" t="n">
        <v>3</v>
      </c>
      <c r="F10" s="35" t="n">
        <f aca="false">D10*E10</f>
        <v>240</v>
      </c>
      <c r="G10" s="35" t="n">
        <v>18</v>
      </c>
      <c r="H10" s="35" t="n">
        <v>120</v>
      </c>
      <c r="I10" s="35" t="n">
        <v>40</v>
      </c>
      <c r="J10" s="34" t="n">
        <v>80</v>
      </c>
      <c r="K10" s="35" t="n">
        <v>249.9346</v>
      </c>
      <c r="L10" s="35" t="n">
        <f aca="false">ABS((J10-D10)/D10)</f>
        <v>0</v>
      </c>
      <c r="M10" s="36" t="n">
        <f aca="false">ABS((K10-F10)/F10)</f>
        <v>0.0413941666666666</v>
      </c>
      <c r="R10" s="35"/>
      <c r="S10" s="35"/>
      <c r="T10" s="35"/>
      <c r="U10" s="35"/>
    </row>
    <row r="11" customFormat="false" ht="14.25" hidden="false" customHeight="true" outlineLevel="0" collapsed="false">
      <c r="B11" s="106"/>
      <c r="C11" s="1" t="n">
        <v>2</v>
      </c>
      <c r="D11" s="34" t="n">
        <v>80</v>
      </c>
      <c r="E11" s="35" t="n">
        <v>3</v>
      </c>
      <c r="F11" s="35" t="n">
        <f aca="false">D11*E11</f>
        <v>240</v>
      </c>
      <c r="G11" s="35" t="n">
        <v>18</v>
      </c>
      <c r="H11" s="35" t="n">
        <v>120</v>
      </c>
      <c r="I11" s="35" t="n">
        <v>40</v>
      </c>
      <c r="J11" s="34" t="n">
        <v>82</v>
      </c>
      <c r="K11" s="35" t="n">
        <v>252.4966</v>
      </c>
      <c r="L11" s="35" t="n">
        <f aca="false">ABS((J11-D11)/D11)</f>
        <v>0.025</v>
      </c>
      <c r="M11" s="36" t="n">
        <f aca="false">ABS((K11-F11)/F11)</f>
        <v>0.0520691666666667</v>
      </c>
      <c r="N11" s="35"/>
      <c r="O11" s="35"/>
    </row>
    <row r="12" customFormat="false" ht="14.25" hidden="false" customHeight="true" outlineLevel="0" collapsed="false">
      <c r="B12" s="106"/>
      <c r="C12" s="1" t="n">
        <v>3</v>
      </c>
      <c r="D12" s="34" t="n">
        <v>80</v>
      </c>
      <c r="E12" s="35" t="n">
        <v>3</v>
      </c>
      <c r="F12" s="35" t="n">
        <f aca="false">D12*E12</f>
        <v>240</v>
      </c>
      <c r="G12" s="35" t="n">
        <v>18</v>
      </c>
      <c r="H12" s="35" t="n">
        <v>120</v>
      </c>
      <c r="I12" s="35" t="n">
        <v>40</v>
      </c>
      <c r="J12" s="34" t="n">
        <v>81</v>
      </c>
      <c r="K12" s="35" t="n">
        <v>251.0437</v>
      </c>
      <c r="L12" s="35" t="n">
        <f aca="false">ABS((J12-D12)/D12)</f>
        <v>0.0125</v>
      </c>
      <c r="M12" s="36" t="n">
        <f aca="false">ABS((K12-F12)/F12)</f>
        <v>0.0460154166666667</v>
      </c>
      <c r="N12" s="35"/>
      <c r="O12" s="35"/>
    </row>
    <row r="13" customFormat="false" ht="14.25" hidden="false" customHeight="true" outlineLevel="0" collapsed="false">
      <c r="B13" s="106"/>
      <c r="C13" s="1" t="n">
        <v>4</v>
      </c>
      <c r="D13" s="34" t="n">
        <v>80</v>
      </c>
      <c r="E13" s="35" t="n">
        <v>3</v>
      </c>
      <c r="F13" s="35" t="n">
        <f aca="false">D13*E13</f>
        <v>240</v>
      </c>
      <c r="G13" s="35" t="n">
        <v>18</v>
      </c>
      <c r="H13" s="35" t="n">
        <v>120</v>
      </c>
      <c r="I13" s="35" t="n">
        <v>40</v>
      </c>
      <c r="J13" s="34" t="n">
        <v>80</v>
      </c>
      <c r="K13" s="35" t="n">
        <v>250.5128</v>
      </c>
      <c r="L13" s="35" t="n">
        <f aca="false">ABS((J13-D13)/D13)</f>
        <v>0</v>
      </c>
      <c r="M13" s="36" t="n">
        <f aca="false">ABS((K13-F13)/F13)</f>
        <v>0.0438033333333333</v>
      </c>
      <c r="N13" s="35"/>
      <c r="O13" s="35"/>
    </row>
    <row r="14" customFormat="false" ht="14.25" hidden="false" customHeight="true" outlineLevel="0" collapsed="false">
      <c r="B14" s="106"/>
      <c r="C14" s="1" t="n">
        <v>5</v>
      </c>
      <c r="D14" s="34" t="n">
        <v>80</v>
      </c>
      <c r="E14" s="35" t="n">
        <v>3</v>
      </c>
      <c r="F14" s="35" t="n">
        <f aca="false">D14*E14</f>
        <v>240</v>
      </c>
      <c r="G14" s="35" t="n">
        <v>18</v>
      </c>
      <c r="H14" s="35" t="n">
        <v>120</v>
      </c>
      <c r="I14" s="35" t="n">
        <v>40</v>
      </c>
      <c r="J14" s="34" t="n">
        <v>80</v>
      </c>
      <c r="K14" s="35" t="n">
        <v>248.7225</v>
      </c>
      <c r="L14" s="35" t="n">
        <f aca="false">ABS((J14-D14)/D14)</f>
        <v>0</v>
      </c>
      <c r="M14" s="36" t="n">
        <f aca="false">ABS((K14-F14)/F14)</f>
        <v>0.03634375</v>
      </c>
      <c r="N14" s="35"/>
      <c r="O14" s="35"/>
    </row>
    <row r="15" customFormat="false" ht="14.25" hidden="false" customHeight="true" outlineLevel="0" collapsed="false">
      <c r="B15" s="106"/>
      <c r="C15" s="108" t="s">
        <v>101</v>
      </c>
      <c r="D15" s="109" t="n">
        <f aca="false">SUM(D10:D14)</f>
        <v>400</v>
      </c>
      <c r="E15" s="110" t="s">
        <v>102</v>
      </c>
      <c r="F15" s="110" t="n">
        <f aca="false">SUM(F10:F14)</f>
        <v>1200</v>
      </c>
      <c r="G15" s="110" t="s">
        <v>102</v>
      </c>
      <c r="H15" s="110" t="s">
        <v>102</v>
      </c>
      <c r="I15" s="110" t="s">
        <v>102</v>
      </c>
      <c r="J15" s="109" t="n">
        <f aca="false">SUM(J10:J14)</f>
        <v>403</v>
      </c>
      <c r="K15" s="110" t="n">
        <f aca="false">SUM(K10:K14)</f>
        <v>1252.7102</v>
      </c>
      <c r="L15" s="63"/>
      <c r="M15" s="64"/>
      <c r="N15" s="35"/>
      <c r="O15" s="35"/>
    </row>
    <row r="16" customFormat="false" ht="14.25" hidden="false" customHeight="true" outlineLevel="0" collapsed="false">
      <c r="B16" s="106" t="s">
        <v>51</v>
      </c>
      <c r="C16" s="107" t="n">
        <v>1</v>
      </c>
      <c r="D16" s="34" t="n">
        <v>80</v>
      </c>
      <c r="E16" s="35" t="n">
        <v>3</v>
      </c>
      <c r="F16" s="35" t="n">
        <f aca="false">D16*E16</f>
        <v>240</v>
      </c>
      <c r="G16" s="35" t="n">
        <v>18</v>
      </c>
      <c r="H16" s="35" t="n">
        <v>120</v>
      </c>
      <c r="I16" s="35" t="n">
        <v>40</v>
      </c>
      <c r="J16" s="34" t="n">
        <v>81</v>
      </c>
      <c r="K16" s="35" t="n">
        <v>253.9351</v>
      </c>
      <c r="L16" s="35" t="n">
        <f aca="false">ABS((J16-D16)/D16)</f>
        <v>0.0125</v>
      </c>
      <c r="M16" s="36" t="n">
        <f aca="false">ABS((K16-F16)/F16)</f>
        <v>0.0580629166666667</v>
      </c>
      <c r="N16" s="35"/>
      <c r="O16" s="35"/>
    </row>
    <row r="17" customFormat="false" ht="14.25" hidden="false" customHeight="true" outlineLevel="0" collapsed="false">
      <c r="B17" s="106"/>
      <c r="C17" s="1" t="n">
        <v>2</v>
      </c>
      <c r="D17" s="34" t="n">
        <v>80</v>
      </c>
      <c r="E17" s="35" t="n">
        <v>3</v>
      </c>
      <c r="F17" s="35" t="n">
        <f aca="false">D17*E17</f>
        <v>240</v>
      </c>
      <c r="G17" s="35" t="n">
        <v>18</v>
      </c>
      <c r="H17" s="35" t="n">
        <v>120</v>
      </c>
      <c r="I17" s="35" t="n">
        <v>40</v>
      </c>
      <c r="J17" s="34" t="n">
        <v>80</v>
      </c>
      <c r="K17" s="35" t="n">
        <v>250.8108</v>
      </c>
      <c r="L17" s="35" t="n">
        <f aca="false">ABS((J17-D17)/D17)</f>
        <v>0</v>
      </c>
      <c r="M17" s="36" t="n">
        <f aca="false">ABS((K17-F17)/F17)</f>
        <v>0.045045</v>
      </c>
      <c r="N17" s="35"/>
      <c r="O17" s="35"/>
    </row>
    <row r="18" customFormat="false" ht="14.25" hidden="false" customHeight="true" outlineLevel="0" collapsed="false">
      <c r="B18" s="106"/>
      <c r="C18" s="1" t="n">
        <v>3</v>
      </c>
      <c r="D18" s="34" t="n">
        <v>80</v>
      </c>
      <c r="E18" s="35" t="n">
        <v>3</v>
      </c>
      <c r="F18" s="35" t="n">
        <f aca="false">D18*E18</f>
        <v>240</v>
      </c>
      <c r="G18" s="35" t="n">
        <v>18</v>
      </c>
      <c r="H18" s="35" t="n">
        <v>120</v>
      </c>
      <c r="I18" s="35" t="n">
        <v>40</v>
      </c>
      <c r="J18" s="34" t="n">
        <v>80</v>
      </c>
      <c r="K18" s="35" t="n">
        <v>250.3718</v>
      </c>
      <c r="L18" s="35" t="n">
        <f aca="false">ABS((J18-D18)/D18)</f>
        <v>0</v>
      </c>
      <c r="M18" s="36" t="n">
        <f aca="false">ABS((K18-F18)/F18)</f>
        <v>0.0432158333333334</v>
      </c>
      <c r="N18" s="35"/>
      <c r="O18" s="35"/>
    </row>
    <row r="19" customFormat="false" ht="14.25" hidden="false" customHeight="true" outlineLevel="0" collapsed="false">
      <c r="B19" s="106"/>
      <c r="C19" s="1" t="n">
        <v>4</v>
      </c>
      <c r="D19" s="34" t="n">
        <v>80</v>
      </c>
      <c r="E19" s="35" t="n">
        <v>3</v>
      </c>
      <c r="F19" s="35" t="n">
        <f aca="false">D19*E19</f>
        <v>240</v>
      </c>
      <c r="G19" s="35" t="n">
        <v>18</v>
      </c>
      <c r="H19" s="35" t="n">
        <v>120</v>
      </c>
      <c r="I19" s="35" t="n">
        <v>40</v>
      </c>
      <c r="J19" s="34" t="n">
        <v>79</v>
      </c>
      <c r="K19" s="35" t="n">
        <v>247.8016</v>
      </c>
      <c r="L19" s="35" t="n">
        <f aca="false">ABS((J19-D19)/D19)</f>
        <v>0.0125</v>
      </c>
      <c r="M19" s="36" t="n">
        <f aca="false">ABS((K19-F19)/F19)</f>
        <v>0.0325066666666667</v>
      </c>
      <c r="N19" s="35"/>
      <c r="O19" s="35"/>
    </row>
    <row r="20" customFormat="false" ht="14.25" hidden="false" customHeight="true" outlineLevel="0" collapsed="false">
      <c r="B20" s="106"/>
      <c r="C20" s="1" t="n">
        <v>5</v>
      </c>
      <c r="D20" s="34" t="n">
        <v>80</v>
      </c>
      <c r="E20" s="35" t="n">
        <v>3</v>
      </c>
      <c r="F20" s="35" t="n">
        <f aca="false">D20*E20</f>
        <v>240</v>
      </c>
      <c r="G20" s="35" t="n">
        <v>18</v>
      </c>
      <c r="H20" s="35" t="n">
        <v>120</v>
      </c>
      <c r="I20" s="35" t="n">
        <v>40</v>
      </c>
      <c r="J20" s="34" t="n">
        <v>80</v>
      </c>
      <c r="K20" s="35" t="n">
        <v>249.9447</v>
      </c>
      <c r="L20" s="35" t="n">
        <f aca="false">ABS((J20-D20)/D20)</f>
        <v>0</v>
      </c>
      <c r="M20" s="36" t="n">
        <f aca="false">ABS((K20-F20)/F20)</f>
        <v>0.0414362500000001</v>
      </c>
      <c r="N20" s="35"/>
      <c r="O20" s="35"/>
    </row>
    <row r="21" customFormat="false" ht="14.25" hidden="false" customHeight="true" outlineLevel="0" collapsed="false">
      <c r="B21" s="106"/>
      <c r="C21" s="1" t="n">
        <v>6</v>
      </c>
      <c r="D21" s="34" t="n">
        <v>80</v>
      </c>
      <c r="E21" s="35" t="n">
        <v>3</v>
      </c>
      <c r="F21" s="35" t="n">
        <v>240</v>
      </c>
      <c r="G21" s="35" t="n">
        <v>18</v>
      </c>
      <c r="H21" s="35" t="n">
        <v>120</v>
      </c>
      <c r="I21" s="35" t="n">
        <v>40</v>
      </c>
      <c r="J21" s="34" t="n">
        <v>75</v>
      </c>
      <c r="K21" s="35" t="n">
        <v>234.9017</v>
      </c>
      <c r="L21" s="35" t="n">
        <f aca="false">ABS((J21-D21)/D21)</f>
        <v>0.0625</v>
      </c>
      <c r="M21" s="36" t="n">
        <f aca="false">ABS((K21-F21)/F21)</f>
        <v>0.0212429166666666</v>
      </c>
    </row>
    <row r="22" customFormat="false" ht="14.25" hidden="false" customHeight="true" outlineLevel="0" collapsed="false">
      <c r="B22" s="106"/>
      <c r="C22" s="1" t="n">
        <v>7</v>
      </c>
      <c r="D22" s="34" t="n">
        <v>22</v>
      </c>
      <c r="E22" s="35" t="n">
        <v>3</v>
      </c>
      <c r="F22" s="35" t="n">
        <f aca="false">D22*E22</f>
        <v>66</v>
      </c>
      <c r="G22" s="35" t="n">
        <v>18</v>
      </c>
      <c r="H22" s="35" t="n">
        <v>120</v>
      </c>
      <c r="I22" s="35" t="n">
        <v>40</v>
      </c>
      <c r="J22" s="34" t="n">
        <v>22</v>
      </c>
      <c r="K22" s="35" t="n">
        <v>68.0078</v>
      </c>
      <c r="L22" s="35" t="n">
        <f aca="false">ABS((J22-D22)/D22)</f>
        <v>0</v>
      </c>
      <c r="M22" s="36" t="n">
        <f aca="false">ABS((K22-F22)/F22)</f>
        <v>0.0304212121212122</v>
      </c>
    </row>
    <row r="23" customFormat="false" ht="14.25" hidden="false" customHeight="true" outlineLevel="0" collapsed="false">
      <c r="B23" s="106"/>
      <c r="C23" s="108" t="s">
        <v>101</v>
      </c>
      <c r="D23" s="109" t="n">
        <f aca="false">SUM(D16:D22)</f>
        <v>502</v>
      </c>
      <c r="E23" s="110" t="s">
        <v>102</v>
      </c>
      <c r="F23" s="110" t="n">
        <f aca="false">SUM(F16:F22)</f>
        <v>1506</v>
      </c>
      <c r="G23" s="110" t="s">
        <v>102</v>
      </c>
      <c r="H23" s="110" t="s">
        <v>102</v>
      </c>
      <c r="I23" s="110" t="s">
        <v>102</v>
      </c>
      <c r="J23" s="109" t="n">
        <f aca="false">SUM(J16:J22)</f>
        <v>497</v>
      </c>
      <c r="K23" s="110" t="n">
        <f aca="false">SUM(K16:K22)</f>
        <v>1555.7735</v>
      </c>
      <c r="L23" s="63"/>
      <c r="M23" s="64"/>
      <c r="N23" s="35"/>
      <c r="O23" s="35"/>
    </row>
    <row r="24" customFormat="false" ht="14.25" hidden="false" customHeight="true" outlineLevel="0" collapsed="false">
      <c r="B24" s="106" t="s">
        <v>44</v>
      </c>
      <c r="C24" s="107" t="n">
        <v>1</v>
      </c>
      <c r="D24" s="34" t="n">
        <v>80</v>
      </c>
      <c r="E24" s="35" t="n">
        <v>3</v>
      </c>
      <c r="F24" s="35" t="n">
        <f aca="false">D24*E24</f>
        <v>240</v>
      </c>
      <c r="G24" s="35" t="n">
        <v>18</v>
      </c>
      <c r="H24" s="35" t="n">
        <v>120</v>
      </c>
      <c r="I24" s="35" t="n">
        <v>40</v>
      </c>
      <c r="J24" s="34" t="n">
        <v>79</v>
      </c>
      <c r="K24" s="35" t="n">
        <v>242.5057</v>
      </c>
      <c r="L24" s="35" t="n">
        <f aca="false">ABS((J24-D24)/D24)</f>
        <v>0.0125</v>
      </c>
      <c r="M24" s="36" t="n">
        <f aca="false">ABS((K24-F24)/F24)</f>
        <v>0.0104404166666666</v>
      </c>
      <c r="N24" s="35"/>
      <c r="O24" s="35"/>
    </row>
    <row r="25" customFormat="false" ht="14.25" hidden="false" customHeight="true" outlineLevel="0" collapsed="false">
      <c r="B25" s="106"/>
      <c r="C25" s="1" t="n">
        <v>2</v>
      </c>
      <c r="D25" s="34" t="n">
        <v>80</v>
      </c>
      <c r="E25" s="35" t="n">
        <v>3</v>
      </c>
      <c r="F25" s="35" t="n">
        <f aca="false">D25*E25</f>
        <v>240</v>
      </c>
      <c r="G25" s="35" t="n">
        <v>18</v>
      </c>
      <c r="H25" s="35" t="n">
        <v>120</v>
      </c>
      <c r="I25" s="35" t="n">
        <v>40</v>
      </c>
      <c r="J25" s="34" t="n">
        <v>78</v>
      </c>
      <c r="K25" s="35" t="n">
        <v>244.0737</v>
      </c>
      <c r="L25" s="35" t="n">
        <f aca="false">ABS((J25-D25)/D25)</f>
        <v>0.025</v>
      </c>
      <c r="M25" s="36" t="n">
        <f aca="false">ABS((K25-F25)/F25)</f>
        <v>0.01697375</v>
      </c>
      <c r="N25" s="35"/>
      <c r="O25" s="35"/>
    </row>
    <row r="26" customFormat="false" ht="14.25" hidden="false" customHeight="true" outlineLevel="0" collapsed="false">
      <c r="B26" s="106"/>
      <c r="C26" s="1" t="n">
        <v>3</v>
      </c>
      <c r="D26" s="34" t="n">
        <v>80</v>
      </c>
      <c r="E26" s="35" t="n">
        <v>3</v>
      </c>
      <c r="F26" s="35" t="n">
        <f aca="false">D26*E26</f>
        <v>240</v>
      </c>
      <c r="G26" s="35" t="n">
        <v>18</v>
      </c>
      <c r="H26" s="35" t="n">
        <v>120</v>
      </c>
      <c r="I26" s="35" t="n">
        <v>40</v>
      </c>
      <c r="J26" s="34" t="n">
        <v>81</v>
      </c>
      <c r="K26" s="35" t="n">
        <v>250.9333</v>
      </c>
      <c r="L26" s="35" t="n">
        <f aca="false">ABS((J26-D26)/D26)</f>
        <v>0.0125</v>
      </c>
      <c r="M26" s="36" t="n">
        <f aca="false">ABS((K26-F26)/F26)</f>
        <v>0.0455554166666667</v>
      </c>
      <c r="N26" s="35"/>
      <c r="O26" s="35"/>
    </row>
    <row r="27" customFormat="false" ht="14.25" hidden="false" customHeight="true" outlineLevel="0" collapsed="false">
      <c r="B27" s="106"/>
      <c r="C27" s="1" t="n">
        <v>4</v>
      </c>
      <c r="D27" s="34" t="n">
        <v>80</v>
      </c>
      <c r="E27" s="35" t="n">
        <v>3</v>
      </c>
      <c r="F27" s="35" t="n">
        <f aca="false">D27*E27</f>
        <v>240</v>
      </c>
      <c r="G27" s="35" t="n">
        <v>18</v>
      </c>
      <c r="H27" s="35" t="n">
        <v>120</v>
      </c>
      <c r="I27" s="35" t="n">
        <v>40</v>
      </c>
      <c r="J27" s="34" t="n">
        <v>76</v>
      </c>
      <c r="K27" s="35" t="n">
        <v>237.7629</v>
      </c>
      <c r="L27" s="35" t="n">
        <f aca="false">ABS((J27-D27)/D27)</f>
        <v>0.05</v>
      </c>
      <c r="M27" s="36" t="n">
        <f aca="false">ABS((K27-F27)/F27)</f>
        <v>0.00932124999999999</v>
      </c>
      <c r="N27" s="35"/>
      <c r="O27" s="35"/>
    </row>
    <row r="28" customFormat="false" ht="14.25" hidden="false" customHeight="true" outlineLevel="0" collapsed="false">
      <c r="B28" s="106"/>
      <c r="C28" s="1" t="n">
        <v>5</v>
      </c>
      <c r="D28" s="34" t="n">
        <v>80</v>
      </c>
      <c r="E28" s="35" t="n">
        <v>3</v>
      </c>
      <c r="F28" s="35" t="n">
        <f aca="false">D28*E28</f>
        <v>240</v>
      </c>
      <c r="G28" s="35" t="n">
        <v>18</v>
      </c>
      <c r="H28" s="35" t="n">
        <v>120</v>
      </c>
      <c r="I28" s="35" t="n">
        <v>40</v>
      </c>
      <c r="J28" s="34" t="n">
        <v>78</v>
      </c>
      <c r="K28" s="35" t="n">
        <v>244.5904</v>
      </c>
      <c r="L28" s="35" t="n">
        <f aca="false">ABS((J28-D28)/D28)</f>
        <v>0.025</v>
      </c>
      <c r="M28" s="36" t="n">
        <f aca="false">ABS((K28-F28)/F28)</f>
        <v>0.0191266666666666</v>
      </c>
      <c r="N28" s="35"/>
      <c r="O28" s="35"/>
    </row>
    <row r="29" customFormat="false" ht="14.25" hidden="false" customHeight="true" outlineLevel="0" collapsed="false">
      <c r="B29" s="106"/>
      <c r="C29" s="1" t="n">
        <v>6</v>
      </c>
      <c r="D29" s="34" t="n">
        <v>55</v>
      </c>
      <c r="E29" s="35" t="n">
        <v>3</v>
      </c>
      <c r="F29" s="35" t="n">
        <f aca="false">D29*E29</f>
        <v>165</v>
      </c>
      <c r="G29" s="35" t="n">
        <v>18</v>
      </c>
      <c r="H29" s="35" t="n">
        <v>120</v>
      </c>
      <c r="I29" s="35" t="n">
        <v>40</v>
      </c>
      <c r="J29" s="34" t="n">
        <v>57</v>
      </c>
      <c r="K29" s="35" t="n">
        <v>175.9554</v>
      </c>
      <c r="L29" s="35" t="n">
        <f aca="false">ABS((J29-D29)/D29)</f>
        <v>0.0363636363636364</v>
      </c>
      <c r="M29" s="36" t="n">
        <f aca="false">ABS((K29-F29)/F29)</f>
        <v>0.0663963636363636</v>
      </c>
      <c r="N29" s="35"/>
      <c r="O29" s="35"/>
    </row>
    <row r="30" customFormat="false" ht="14.25" hidden="false" customHeight="true" outlineLevel="0" collapsed="false">
      <c r="B30" s="106"/>
      <c r="C30" s="108" t="s">
        <v>101</v>
      </c>
      <c r="D30" s="109" t="n">
        <f aca="false">SUM(D24:D29)</f>
        <v>455</v>
      </c>
      <c r="E30" s="110" t="s">
        <v>102</v>
      </c>
      <c r="F30" s="110" t="n">
        <f aca="false">SUM(F24:F29)</f>
        <v>1365</v>
      </c>
      <c r="G30" s="110" t="s">
        <v>102</v>
      </c>
      <c r="H30" s="110" t="s">
        <v>102</v>
      </c>
      <c r="I30" s="110" t="s">
        <v>102</v>
      </c>
      <c r="J30" s="109" t="n">
        <f aca="false">SUM(J24:J29)</f>
        <v>449</v>
      </c>
      <c r="K30" s="110" t="n">
        <f aca="false">SUM(K24:K29)</f>
        <v>1395.8214</v>
      </c>
      <c r="L30" s="63"/>
      <c r="M30" s="64"/>
      <c r="N30" s="35"/>
      <c r="O30" s="35"/>
    </row>
    <row r="31" customFormat="false" ht="14.25" hidden="false" customHeight="true" outlineLevel="0" collapsed="false">
      <c r="B31" s="106" t="s">
        <v>33</v>
      </c>
      <c r="C31" s="107" t="n">
        <v>1</v>
      </c>
      <c r="D31" s="34" t="n">
        <v>80</v>
      </c>
      <c r="E31" s="35" t="n">
        <v>3</v>
      </c>
      <c r="F31" s="35" t="n">
        <f aca="false">D31*E31</f>
        <v>240</v>
      </c>
      <c r="G31" s="35" t="n">
        <v>18</v>
      </c>
      <c r="H31" s="35" t="n">
        <v>120</v>
      </c>
      <c r="I31" s="35" t="n">
        <v>40</v>
      </c>
      <c r="J31" s="34" t="n">
        <v>80</v>
      </c>
      <c r="K31" s="35" t="n">
        <v>250.7872</v>
      </c>
      <c r="L31" s="35" t="n">
        <f aca="false">ABS((J31-D31)/D31)</f>
        <v>0</v>
      </c>
      <c r="M31" s="36" t="n">
        <f aca="false">ABS((K31-F31)/F31)</f>
        <v>0.0449466666666667</v>
      </c>
    </row>
    <row r="32" customFormat="false" ht="14.25" hidden="false" customHeight="true" outlineLevel="0" collapsed="false">
      <c r="B32" s="106"/>
      <c r="C32" s="1" t="n">
        <v>2</v>
      </c>
      <c r="D32" s="34" t="n">
        <v>80</v>
      </c>
      <c r="E32" s="35" t="n">
        <v>3</v>
      </c>
      <c r="F32" s="35" t="n">
        <f aca="false">D32*E32</f>
        <v>240</v>
      </c>
      <c r="G32" s="35" t="n">
        <v>18</v>
      </c>
      <c r="H32" s="35" t="n">
        <v>120</v>
      </c>
      <c r="I32" s="35" t="n">
        <v>40</v>
      </c>
      <c r="J32" s="34" t="n">
        <v>80</v>
      </c>
      <c r="K32" s="35" t="n">
        <v>254.519</v>
      </c>
      <c r="L32" s="35" t="n">
        <f aca="false">ABS((J32-D32)/D32)</f>
        <v>0</v>
      </c>
      <c r="M32" s="36" t="n">
        <f aca="false">ABS((K32-F32)/F32)</f>
        <v>0.0604958333333334</v>
      </c>
    </row>
    <row r="33" customFormat="false" ht="14.25" hidden="false" customHeight="true" outlineLevel="0" collapsed="false">
      <c r="B33" s="106"/>
      <c r="C33" s="1" t="n">
        <v>3</v>
      </c>
      <c r="D33" s="34" t="n">
        <v>80</v>
      </c>
      <c r="E33" s="35" t="n">
        <v>3</v>
      </c>
      <c r="F33" s="35" t="n">
        <f aca="false">D33*E33</f>
        <v>240</v>
      </c>
      <c r="G33" s="35" t="n">
        <v>18</v>
      </c>
      <c r="H33" s="35" t="n">
        <v>120</v>
      </c>
      <c r="I33" s="35" t="n">
        <v>40</v>
      </c>
      <c r="J33" s="34" t="n">
        <v>77</v>
      </c>
      <c r="K33" s="35" t="n">
        <v>245.8975</v>
      </c>
      <c r="L33" s="35" t="n">
        <f aca="false">ABS((J33-D33)/D33)</f>
        <v>0.0375</v>
      </c>
      <c r="M33" s="36" t="n">
        <f aca="false">ABS((K33-F33)/F33)</f>
        <v>0.0245729166666667</v>
      </c>
    </row>
    <row r="34" customFormat="false" ht="14.25" hidden="false" customHeight="true" outlineLevel="0" collapsed="false">
      <c r="B34" s="106"/>
      <c r="C34" s="1" t="n">
        <v>4</v>
      </c>
      <c r="D34" s="34" t="n">
        <v>80</v>
      </c>
      <c r="E34" s="35" t="n">
        <v>3</v>
      </c>
      <c r="F34" s="35" t="n">
        <f aca="false">D34*E34</f>
        <v>240</v>
      </c>
      <c r="G34" s="35" t="n">
        <v>18</v>
      </c>
      <c r="H34" s="35" t="n">
        <v>120</v>
      </c>
      <c r="I34" s="35" t="n">
        <v>40</v>
      </c>
      <c r="J34" s="34" t="n">
        <v>81</v>
      </c>
      <c r="K34" s="35" t="n">
        <v>261.9976</v>
      </c>
      <c r="L34" s="35" t="n">
        <f aca="false">ABS((J34-D34)/D34)</f>
        <v>0.0125</v>
      </c>
      <c r="M34" s="36" t="n">
        <f aca="false">ABS((K34-F34)/F34)</f>
        <v>0.0916566666666666</v>
      </c>
    </row>
    <row r="35" customFormat="false" ht="14.25" hidden="false" customHeight="true" outlineLevel="0" collapsed="false">
      <c r="B35" s="106"/>
      <c r="C35" s="1" t="n">
        <v>5</v>
      </c>
      <c r="D35" s="34" t="n">
        <v>80</v>
      </c>
      <c r="E35" s="35" t="n">
        <v>3</v>
      </c>
      <c r="F35" s="35" t="n">
        <f aca="false">D35*E35</f>
        <v>240</v>
      </c>
      <c r="G35" s="35" t="n">
        <v>18</v>
      </c>
      <c r="H35" s="35" t="n">
        <v>120</v>
      </c>
      <c r="I35" s="35" t="n">
        <v>40</v>
      </c>
      <c r="J35" s="34" t="n">
        <v>80</v>
      </c>
      <c r="K35" s="35" t="n">
        <v>261.9183</v>
      </c>
      <c r="L35" s="35" t="n">
        <f aca="false">ABS((J35-D35)/D35)</f>
        <v>0</v>
      </c>
      <c r="M35" s="36" t="n">
        <f aca="false">ABS((K35-F35)/F35)</f>
        <v>0.09132625</v>
      </c>
    </row>
    <row r="36" customFormat="false" ht="14.25" hidden="false" customHeight="true" outlineLevel="0" collapsed="false">
      <c r="B36" s="106"/>
      <c r="C36" s="1" t="n">
        <v>6</v>
      </c>
      <c r="D36" s="34" t="n">
        <v>80</v>
      </c>
      <c r="E36" s="35" t="n">
        <v>3</v>
      </c>
      <c r="F36" s="35" t="n">
        <v>240</v>
      </c>
      <c r="G36" s="35" t="n">
        <v>18</v>
      </c>
      <c r="H36" s="35" t="n">
        <v>120</v>
      </c>
      <c r="I36" s="35" t="n">
        <v>40</v>
      </c>
      <c r="J36" s="34" t="n">
        <v>80</v>
      </c>
      <c r="K36" s="35" t="n">
        <v>261.5835</v>
      </c>
      <c r="L36" s="35" t="n">
        <f aca="false">ABS((J36-D36)/D36)</f>
        <v>0</v>
      </c>
      <c r="M36" s="36" t="n">
        <f aca="false">ABS((K36-F36)/F36)</f>
        <v>0.0899312500000001</v>
      </c>
    </row>
    <row r="37" customFormat="false" ht="14.25" hidden="false" customHeight="true" outlineLevel="0" collapsed="false">
      <c r="B37" s="106"/>
      <c r="C37" s="1" t="n">
        <v>7</v>
      </c>
      <c r="D37" s="34" t="n">
        <v>80</v>
      </c>
      <c r="E37" s="35" t="n">
        <v>3</v>
      </c>
      <c r="F37" s="35" t="n">
        <f aca="false">D37*E37</f>
        <v>240</v>
      </c>
      <c r="G37" s="35" t="n">
        <v>18</v>
      </c>
      <c r="H37" s="35" t="n">
        <v>120</v>
      </c>
      <c r="I37" s="35" t="n">
        <v>40</v>
      </c>
      <c r="J37" s="34" t="n">
        <v>80</v>
      </c>
      <c r="K37" s="35" t="n">
        <v>257.3476</v>
      </c>
      <c r="L37" s="35" t="n">
        <f aca="false">ABS((J37-D37)/D37)</f>
        <v>0</v>
      </c>
      <c r="M37" s="36" t="n">
        <f aca="false">ABS((K37-F37)/F37)</f>
        <v>0.0722816666666667</v>
      </c>
    </row>
    <row r="38" customFormat="false" ht="14.25" hidden="false" customHeight="true" outlineLevel="0" collapsed="false">
      <c r="B38" s="106"/>
      <c r="C38" s="108" t="s">
        <v>101</v>
      </c>
      <c r="D38" s="109" t="n">
        <f aca="false">SUM(D31:D37)</f>
        <v>560</v>
      </c>
      <c r="E38" s="110" t="s">
        <v>102</v>
      </c>
      <c r="F38" s="110" t="n">
        <f aca="false">SUM(F31:F37)</f>
        <v>1680</v>
      </c>
      <c r="G38" s="110" t="s">
        <v>102</v>
      </c>
      <c r="H38" s="110" t="s">
        <v>102</v>
      </c>
      <c r="I38" s="110" t="s">
        <v>102</v>
      </c>
      <c r="J38" s="109" t="n">
        <f aca="false">SUM(J31:J37)</f>
        <v>558</v>
      </c>
      <c r="K38" s="110" t="n">
        <f aca="false">SUM(K31:K37)</f>
        <v>1794.0507</v>
      </c>
      <c r="L38" s="63"/>
      <c r="M38" s="64"/>
    </row>
    <row r="39" customFormat="false" ht="14.25" hidden="false" customHeight="true" outlineLevel="0" collapsed="false">
      <c r="B39" s="106" t="s">
        <v>28</v>
      </c>
      <c r="C39" s="107" t="n">
        <v>1</v>
      </c>
      <c r="D39" s="34" t="n">
        <v>80</v>
      </c>
      <c r="E39" s="35" t="n">
        <v>3</v>
      </c>
      <c r="F39" s="35" t="n">
        <f aca="false">D39*E39</f>
        <v>240</v>
      </c>
      <c r="G39" s="35" t="n">
        <v>18</v>
      </c>
      <c r="H39" s="35" t="n">
        <v>120</v>
      </c>
      <c r="I39" s="35" t="n">
        <v>40</v>
      </c>
      <c r="J39" s="34" t="n">
        <v>80</v>
      </c>
      <c r="K39" s="35" t="n">
        <v>249.3192</v>
      </c>
      <c r="L39" s="35" t="n">
        <f aca="false">ABS((J39-D39)/D39)</f>
        <v>0</v>
      </c>
      <c r="M39" s="36" t="n">
        <f aca="false">ABS((K39-F39)/F39)</f>
        <v>0.03883</v>
      </c>
    </row>
    <row r="40" customFormat="false" ht="14.25" hidden="false" customHeight="true" outlineLevel="0" collapsed="false">
      <c r="B40" s="106"/>
      <c r="C40" s="1" t="n">
        <v>2</v>
      </c>
      <c r="D40" s="34" t="n">
        <v>80</v>
      </c>
      <c r="E40" s="35" t="n">
        <v>3</v>
      </c>
      <c r="F40" s="35" t="n">
        <f aca="false">D40*E40</f>
        <v>240</v>
      </c>
      <c r="G40" s="35" t="n">
        <v>18</v>
      </c>
      <c r="H40" s="35" t="n">
        <v>120</v>
      </c>
      <c r="I40" s="35" t="n">
        <v>40</v>
      </c>
      <c r="J40" s="34" t="n">
        <v>80</v>
      </c>
      <c r="K40" s="35" t="n">
        <v>248.4511</v>
      </c>
      <c r="L40" s="35" t="n">
        <f aca="false">ABS((J40-D40)/D40)</f>
        <v>0</v>
      </c>
      <c r="M40" s="36" t="n">
        <f aca="false">ABS((K40-F40)/F40)</f>
        <v>0.0352129166666667</v>
      </c>
    </row>
    <row r="41" customFormat="false" ht="14.25" hidden="false" customHeight="true" outlineLevel="0" collapsed="false">
      <c r="B41" s="106"/>
      <c r="C41" s="1" t="n">
        <v>3</v>
      </c>
      <c r="D41" s="34" t="n">
        <v>80</v>
      </c>
      <c r="E41" s="35" t="n">
        <v>3</v>
      </c>
      <c r="F41" s="35" t="n">
        <f aca="false">D41*E41</f>
        <v>240</v>
      </c>
      <c r="G41" s="35" t="n">
        <v>18</v>
      </c>
      <c r="H41" s="35" t="n">
        <v>120</v>
      </c>
      <c r="I41" s="35" t="n">
        <v>40</v>
      </c>
      <c r="J41" s="34" t="n">
        <v>80</v>
      </c>
      <c r="K41" s="35" t="n">
        <v>249.44</v>
      </c>
      <c r="L41" s="35" t="n">
        <f aca="false">ABS((J41-D41)/D41)</f>
        <v>0</v>
      </c>
      <c r="M41" s="36" t="n">
        <f aca="false">ABS((K41-F41)/F41)</f>
        <v>0.0393333333333333</v>
      </c>
    </row>
    <row r="42" customFormat="false" ht="14.25" hidden="false" customHeight="true" outlineLevel="0" collapsed="false">
      <c r="B42" s="106"/>
      <c r="C42" s="1" t="n">
        <v>4</v>
      </c>
      <c r="D42" s="34" t="n">
        <v>80</v>
      </c>
      <c r="E42" s="35" t="n">
        <v>3</v>
      </c>
      <c r="F42" s="35" t="n">
        <f aca="false">D42*E42</f>
        <v>240</v>
      </c>
      <c r="G42" s="35" t="n">
        <v>18</v>
      </c>
      <c r="H42" s="35" t="n">
        <v>120</v>
      </c>
      <c r="I42" s="35" t="n">
        <v>40</v>
      </c>
      <c r="J42" s="34" t="n">
        <v>80</v>
      </c>
      <c r="K42" s="35" t="n">
        <v>250.2273</v>
      </c>
      <c r="L42" s="35" t="n">
        <f aca="false">ABS((J42-D42)/D42)</f>
        <v>0</v>
      </c>
      <c r="M42" s="36" t="n">
        <f aca="false">ABS((K42-F42)/F42)</f>
        <v>0.0426137500000001</v>
      </c>
    </row>
    <row r="43" customFormat="false" ht="14.25" hidden="false" customHeight="true" outlineLevel="0" collapsed="false">
      <c r="B43" s="106"/>
      <c r="C43" s="1" t="n">
        <v>5</v>
      </c>
      <c r="D43" s="34" t="n">
        <v>80</v>
      </c>
      <c r="E43" s="35" t="n">
        <v>3</v>
      </c>
      <c r="F43" s="35" t="n">
        <f aca="false">D43*E43</f>
        <v>240</v>
      </c>
      <c r="G43" s="35" t="n">
        <v>18</v>
      </c>
      <c r="H43" s="35" t="n">
        <v>120</v>
      </c>
      <c r="I43" s="35" t="n">
        <v>40</v>
      </c>
      <c r="J43" s="34" t="n">
        <v>77</v>
      </c>
      <c r="K43" s="35" t="n">
        <v>243.5927</v>
      </c>
      <c r="L43" s="35" t="n">
        <f aca="false">ABS((J43-D43)/D43)</f>
        <v>0.0375</v>
      </c>
      <c r="M43" s="36" t="n">
        <f aca="false">ABS((K43-F43)/F43)</f>
        <v>0.0149695833333334</v>
      </c>
    </row>
    <row r="44" customFormat="false" ht="14.25" hidden="false" customHeight="true" outlineLevel="0" collapsed="false">
      <c r="B44" s="106"/>
      <c r="C44" s="108" t="s">
        <v>101</v>
      </c>
      <c r="D44" s="109" t="n">
        <f aca="false">SUM(D39:D43)</f>
        <v>400</v>
      </c>
      <c r="E44" s="110" t="s">
        <v>102</v>
      </c>
      <c r="F44" s="110" t="n">
        <f aca="false">SUM(F39:F43)</f>
        <v>1200</v>
      </c>
      <c r="G44" s="110" t="s">
        <v>102</v>
      </c>
      <c r="H44" s="110" t="s">
        <v>102</v>
      </c>
      <c r="I44" s="110" t="s">
        <v>102</v>
      </c>
      <c r="J44" s="109" t="n">
        <f aca="false">SUM(J39:J43)</f>
        <v>397</v>
      </c>
      <c r="K44" s="110" t="n">
        <f aca="false">SUM(K39:K43)</f>
        <v>1241.0303</v>
      </c>
      <c r="L44" s="63"/>
      <c r="M44" s="64"/>
    </row>
    <row r="45" customFormat="false" ht="14.25" hidden="false" customHeight="true" outlineLevel="0" collapsed="false">
      <c r="B45" s="106" t="s">
        <v>103</v>
      </c>
      <c r="C45" s="107" t="n">
        <v>1</v>
      </c>
      <c r="D45" s="34" t="n">
        <v>30</v>
      </c>
      <c r="E45" s="35" t="n">
        <v>3</v>
      </c>
      <c r="F45" s="35" t="n">
        <v>87.06</v>
      </c>
      <c r="G45" s="35" t="n">
        <v>18</v>
      </c>
      <c r="H45" s="35" t="s">
        <v>102</v>
      </c>
      <c r="I45" s="35" t="s">
        <v>102</v>
      </c>
      <c r="J45" s="34" t="n">
        <v>30</v>
      </c>
      <c r="K45" s="35" t="n">
        <v>85.0256</v>
      </c>
      <c r="L45" s="35"/>
      <c r="M45" s="36"/>
    </row>
    <row r="46" customFormat="false" ht="14.25" hidden="false" customHeight="true" outlineLevel="0" collapsed="false">
      <c r="B46" s="106"/>
      <c r="C46" s="108" t="s">
        <v>101</v>
      </c>
      <c r="D46" s="109" t="n">
        <f aca="false">D45</f>
        <v>30</v>
      </c>
      <c r="E46" s="110" t="s">
        <v>102</v>
      </c>
      <c r="F46" s="110" t="n">
        <f aca="false">F45</f>
        <v>87.06</v>
      </c>
      <c r="G46" s="110" t="s">
        <v>102</v>
      </c>
      <c r="H46" s="110" t="s">
        <v>102</v>
      </c>
      <c r="I46" s="110" t="s">
        <v>102</v>
      </c>
      <c r="J46" s="109" t="n">
        <f aca="false">J45</f>
        <v>30</v>
      </c>
      <c r="K46" s="110" t="n">
        <f aca="false">K45</f>
        <v>85.0256</v>
      </c>
      <c r="L46" s="63"/>
      <c r="M46" s="64"/>
    </row>
    <row r="47" customFormat="false" ht="14.25" hidden="false" customHeight="true" outlineLevel="0" collapsed="false">
      <c r="B47" s="106" t="s">
        <v>42</v>
      </c>
      <c r="C47" s="107" t="n">
        <v>1</v>
      </c>
      <c r="D47" s="34" t="n">
        <v>80</v>
      </c>
      <c r="E47" s="35" t="n">
        <v>3</v>
      </c>
      <c r="F47" s="35" t="n">
        <f aca="false">D47*E47</f>
        <v>240</v>
      </c>
      <c r="G47" s="35" t="n">
        <v>18</v>
      </c>
      <c r="H47" s="35" t="n">
        <v>120</v>
      </c>
      <c r="I47" s="35" t="n">
        <v>40</v>
      </c>
      <c r="J47" s="34" t="n">
        <v>80</v>
      </c>
      <c r="K47" s="35" t="n">
        <v>247.2653</v>
      </c>
      <c r="L47" s="35" t="n">
        <f aca="false">ABS((J47-D47)/D47)</f>
        <v>0</v>
      </c>
      <c r="M47" s="36" t="n">
        <f aca="false">ABS((K47-F47)/F47)</f>
        <v>0.0302720833333333</v>
      </c>
    </row>
    <row r="48" customFormat="false" ht="14.25" hidden="false" customHeight="true" outlineLevel="0" collapsed="false">
      <c r="B48" s="106"/>
      <c r="C48" s="1" t="n">
        <v>2</v>
      </c>
      <c r="D48" s="34" t="n">
        <v>80</v>
      </c>
      <c r="E48" s="35" t="n">
        <v>3</v>
      </c>
      <c r="F48" s="35" t="n">
        <f aca="false">D48*E48</f>
        <v>240</v>
      </c>
      <c r="G48" s="35" t="n">
        <v>18</v>
      </c>
      <c r="H48" s="35" t="n">
        <v>120</v>
      </c>
      <c r="I48" s="35" t="n">
        <v>40</v>
      </c>
      <c r="J48" s="34" t="n">
        <v>80</v>
      </c>
      <c r="K48" s="35" t="n">
        <v>246.96</v>
      </c>
      <c r="L48" s="35" t="n">
        <f aca="false">ABS((J48-D48)/D48)</f>
        <v>0</v>
      </c>
      <c r="M48" s="36" t="n">
        <f aca="false">ABS((K48-F48)/F48)</f>
        <v>0.029</v>
      </c>
    </row>
    <row r="49" customFormat="false" ht="14.25" hidden="false" customHeight="true" outlineLevel="0" collapsed="false">
      <c r="B49" s="106"/>
      <c r="C49" s="1" t="n">
        <v>3</v>
      </c>
      <c r="D49" s="34" t="n">
        <v>80</v>
      </c>
      <c r="E49" s="35" t="n">
        <v>3</v>
      </c>
      <c r="F49" s="35" t="n">
        <f aca="false">D49*E49</f>
        <v>240</v>
      </c>
      <c r="G49" s="35" t="n">
        <v>18</v>
      </c>
      <c r="H49" s="35" t="n">
        <v>120</v>
      </c>
      <c r="I49" s="35" t="n">
        <v>40</v>
      </c>
      <c r="J49" s="34" t="n">
        <v>80</v>
      </c>
      <c r="K49" s="35" t="n">
        <v>246.7951</v>
      </c>
      <c r="L49" s="35" t="n">
        <f aca="false">ABS((J49-D49)/D49)</f>
        <v>0</v>
      </c>
      <c r="M49" s="36" t="n">
        <f aca="false">ABS((K49-F49)/F49)</f>
        <v>0.0283129166666666</v>
      </c>
    </row>
    <row r="50" customFormat="false" ht="14.25" hidden="false" customHeight="true" outlineLevel="0" collapsed="false">
      <c r="B50" s="106"/>
      <c r="C50" s="1" t="n">
        <v>4</v>
      </c>
      <c r="D50" s="34" t="n">
        <v>80</v>
      </c>
      <c r="E50" s="35" t="n">
        <v>3</v>
      </c>
      <c r="F50" s="35" t="n">
        <f aca="false">D50*E50</f>
        <v>240</v>
      </c>
      <c r="G50" s="35" t="n">
        <v>18</v>
      </c>
      <c r="H50" s="35" t="n">
        <v>120</v>
      </c>
      <c r="I50" s="35" t="n">
        <v>40</v>
      </c>
      <c r="J50" s="34" t="n">
        <v>80</v>
      </c>
      <c r="K50" s="35" t="n">
        <v>247.0036</v>
      </c>
      <c r="L50" s="35" t="n">
        <f aca="false">ABS((J50-D50)/D50)</f>
        <v>0</v>
      </c>
      <c r="M50" s="36" t="n">
        <f aca="false">ABS((K50-F50)/F50)</f>
        <v>0.0291816666666667</v>
      </c>
    </row>
    <row r="51" customFormat="false" ht="14.25" hidden="false" customHeight="true" outlineLevel="0" collapsed="false">
      <c r="B51" s="106"/>
      <c r="C51" s="1" t="n">
        <v>5</v>
      </c>
      <c r="D51" s="34" t="n">
        <v>80</v>
      </c>
      <c r="E51" s="35" t="n">
        <v>3</v>
      </c>
      <c r="F51" s="35" t="n">
        <f aca="false">D51*E51</f>
        <v>240</v>
      </c>
      <c r="G51" s="35" t="n">
        <v>18</v>
      </c>
      <c r="H51" s="35" t="n">
        <v>120</v>
      </c>
      <c r="I51" s="35" t="n">
        <v>40</v>
      </c>
      <c r="J51" s="34" t="n">
        <v>80</v>
      </c>
      <c r="K51" s="35" t="n">
        <v>246.2537</v>
      </c>
      <c r="L51" s="35" t="n">
        <f aca="false">ABS((J51-D51)/D51)</f>
        <v>0</v>
      </c>
      <c r="M51" s="36" t="n">
        <f aca="false">ABS((K51-F51)/F51)</f>
        <v>0.0260570833333334</v>
      </c>
    </row>
    <row r="52" customFormat="false" ht="14.25" hidden="false" customHeight="true" outlineLevel="0" collapsed="false">
      <c r="B52" s="106"/>
      <c r="C52" s="1" t="n">
        <v>6</v>
      </c>
      <c r="D52" s="34" t="n">
        <v>80</v>
      </c>
      <c r="E52" s="35" t="n">
        <v>3</v>
      </c>
      <c r="F52" s="35" t="n">
        <f aca="false">D52*E52</f>
        <v>240</v>
      </c>
      <c r="G52" s="35" t="n">
        <v>18</v>
      </c>
      <c r="H52" s="35" t="n">
        <v>120</v>
      </c>
      <c r="I52" s="35" t="n">
        <v>40</v>
      </c>
      <c r="J52" s="34" t="n">
        <v>80</v>
      </c>
      <c r="K52" s="35" t="n">
        <v>246.9526</v>
      </c>
      <c r="L52" s="35" t="n">
        <f aca="false">ABS((J52-D52)/D52)</f>
        <v>0</v>
      </c>
      <c r="M52" s="36" t="n">
        <f aca="false">ABS((K52-F52)/F52)</f>
        <v>0.0289691666666666</v>
      </c>
    </row>
    <row r="53" customFormat="false" ht="14.25" hidden="false" customHeight="true" outlineLevel="0" collapsed="false">
      <c r="B53" s="106"/>
      <c r="C53" s="108" t="s">
        <v>101</v>
      </c>
      <c r="D53" s="109" t="n">
        <f aca="false">SUM(D47:D52)</f>
        <v>480</v>
      </c>
      <c r="E53" s="110" t="s">
        <v>102</v>
      </c>
      <c r="F53" s="110" t="n">
        <f aca="false">SUM(F47:F52)</f>
        <v>1440</v>
      </c>
      <c r="G53" s="110" t="s">
        <v>102</v>
      </c>
      <c r="H53" s="110" t="s">
        <v>102</v>
      </c>
      <c r="I53" s="110" t="s">
        <v>102</v>
      </c>
      <c r="J53" s="109" t="n">
        <f aca="false">SUM(J47:J52)</f>
        <v>480</v>
      </c>
      <c r="K53" s="110" t="n">
        <f aca="false">SUM(K47:K52)</f>
        <v>1481.2303</v>
      </c>
      <c r="L53" s="63"/>
      <c r="M53" s="64"/>
    </row>
    <row r="54" customFormat="false" ht="14.25" hidden="false" customHeight="true" outlineLevel="0" collapsed="false">
      <c r="B54" s="106" t="s">
        <v>39</v>
      </c>
      <c r="C54" s="107" t="n">
        <v>1</v>
      </c>
      <c r="D54" s="34" t="n">
        <v>80</v>
      </c>
      <c r="E54" s="35" t="n">
        <v>3</v>
      </c>
      <c r="F54" s="35" t="n">
        <f aca="false">D54*E54</f>
        <v>240</v>
      </c>
      <c r="G54" s="35" t="n">
        <v>18</v>
      </c>
      <c r="H54" s="35" t="n">
        <v>120</v>
      </c>
      <c r="I54" s="35" t="n">
        <v>40</v>
      </c>
      <c r="J54" s="34" t="n">
        <v>80</v>
      </c>
      <c r="K54" s="35" t="n">
        <v>237.0756</v>
      </c>
      <c r="L54" s="35" t="n">
        <f aca="false">ABS((J54-D54)/D54)</f>
        <v>0</v>
      </c>
      <c r="M54" s="36" t="n">
        <f aca="false">ABS((K54-F54)/F54)</f>
        <v>0.012185</v>
      </c>
    </row>
    <row r="55" customFormat="false" ht="14.25" hidden="false" customHeight="true" outlineLevel="0" collapsed="false">
      <c r="B55" s="106"/>
      <c r="C55" s="1" t="n">
        <v>2</v>
      </c>
      <c r="D55" s="34" t="n">
        <v>80</v>
      </c>
      <c r="E55" s="35" t="n">
        <v>3</v>
      </c>
      <c r="F55" s="35" t="n">
        <f aca="false">D55*E55</f>
        <v>240</v>
      </c>
      <c r="G55" s="35" t="n">
        <v>18</v>
      </c>
      <c r="H55" s="35" t="n">
        <v>120</v>
      </c>
      <c r="I55" s="35" t="n">
        <v>40</v>
      </c>
      <c r="J55" s="34" t="n">
        <v>80</v>
      </c>
      <c r="K55" s="35" t="n">
        <v>239.6019</v>
      </c>
      <c r="L55" s="35" t="n">
        <f aca="false">ABS((J55-D55)/D55)</f>
        <v>0</v>
      </c>
      <c r="M55" s="36" t="n">
        <f aca="false">ABS((K55-F55)/F55)</f>
        <v>0.00165875</v>
      </c>
    </row>
    <row r="56" customFormat="false" ht="14.25" hidden="false" customHeight="true" outlineLevel="0" collapsed="false">
      <c r="B56" s="106"/>
      <c r="C56" s="1" t="n">
        <v>3</v>
      </c>
      <c r="D56" s="34" t="n">
        <v>25</v>
      </c>
      <c r="E56" s="35" t="n">
        <v>3</v>
      </c>
      <c r="F56" s="35" t="n">
        <f aca="false">D56*E56</f>
        <v>75</v>
      </c>
      <c r="G56" s="35" t="n">
        <v>18</v>
      </c>
      <c r="H56" s="35" t="n">
        <v>120</v>
      </c>
      <c r="I56" s="35" t="n">
        <v>40</v>
      </c>
      <c r="J56" s="34" t="n">
        <v>25</v>
      </c>
      <c r="K56" s="35" t="n">
        <v>74.2389</v>
      </c>
      <c r="L56" s="35" t="n">
        <f aca="false">ABS((J56-D56)/D56)</f>
        <v>0</v>
      </c>
      <c r="M56" s="36" t="n">
        <f aca="false">ABS((K56-F56)/F56)</f>
        <v>0.010148</v>
      </c>
    </row>
    <row r="57" customFormat="false" ht="14.25" hidden="false" customHeight="true" outlineLevel="0" collapsed="false">
      <c r="B57" s="106"/>
      <c r="C57" s="108" t="s">
        <v>101</v>
      </c>
      <c r="D57" s="109" t="n">
        <f aca="false">SUM(D54:D56)</f>
        <v>185</v>
      </c>
      <c r="E57" s="110" t="s">
        <v>102</v>
      </c>
      <c r="F57" s="110" t="n">
        <f aca="false">SUM(F54:F56)</f>
        <v>555</v>
      </c>
      <c r="G57" s="110" t="s">
        <v>102</v>
      </c>
      <c r="H57" s="110" t="s">
        <v>102</v>
      </c>
      <c r="I57" s="110" t="s">
        <v>102</v>
      </c>
      <c r="J57" s="109" t="n">
        <f aca="false">SUM(J54:J56)</f>
        <v>185</v>
      </c>
      <c r="K57" s="110" t="n">
        <f aca="false">SUM(K54:K56)</f>
        <v>550.9164</v>
      </c>
      <c r="L57" s="63"/>
      <c r="M57" s="64"/>
    </row>
    <row r="58" customFormat="false" ht="14.25" hidden="false" customHeight="true" outlineLevel="0" collapsed="false">
      <c r="B58" s="106" t="s">
        <v>47</v>
      </c>
      <c r="C58" s="107" t="n">
        <v>1</v>
      </c>
      <c r="D58" s="34" t="n">
        <v>80</v>
      </c>
      <c r="E58" s="35" t="n">
        <v>3</v>
      </c>
      <c r="F58" s="35" t="n">
        <f aca="false">D58*E58</f>
        <v>240</v>
      </c>
      <c r="G58" s="35" t="n">
        <v>18</v>
      </c>
      <c r="H58" s="35" t="n">
        <v>120</v>
      </c>
      <c r="I58" s="35" t="n">
        <v>40</v>
      </c>
      <c r="J58" s="34" t="n">
        <v>80</v>
      </c>
      <c r="K58" s="35" t="n">
        <v>285.3583</v>
      </c>
      <c r="L58" s="35"/>
      <c r="M58" s="36"/>
    </row>
    <row r="59" customFormat="false" ht="14.25" hidden="false" customHeight="true" outlineLevel="0" collapsed="false">
      <c r="B59" s="106"/>
      <c r="C59" s="108" t="s">
        <v>101</v>
      </c>
      <c r="D59" s="109" t="n">
        <f aca="false">D58</f>
        <v>80</v>
      </c>
      <c r="E59" s="110" t="s">
        <v>102</v>
      </c>
      <c r="F59" s="110" t="n">
        <f aca="false">F58</f>
        <v>240</v>
      </c>
      <c r="G59" s="110" t="s">
        <v>102</v>
      </c>
      <c r="H59" s="110" t="s">
        <v>102</v>
      </c>
      <c r="I59" s="110" t="s">
        <v>102</v>
      </c>
      <c r="J59" s="109" t="n">
        <f aca="false">J58</f>
        <v>80</v>
      </c>
      <c r="K59" s="110" t="n">
        <f aca="false">K58</f>
        <v>285.3583</v>
      </c>
      <c r="L59" s="63"/>
      <c r="M59" s="64"/>
    </row>
    <row r="60" customFormat="false" ht="14.25" hidden="false" customHeight="true" outlineLevel="0" collapsed="false">
      <c r="B60" s="106" t="s">
        <v>104</v>
      </c>
      <c r="C60" s="1" t="n">
        <v>1</v>
      </c>
      <c r="D60" s="35" t="n">
        <v>30</v>
      </c>
      <c r="E60" s="35" t="n">
        <v>3</v>
      </c>
      <c r="F60" s="111" t="n">
        <v>94.682844</v>
      </c>
      <c r="G60" s="35" t="n">
        <v>18</v>
      </c>
      <c r="H60" s="35" t="s">
        <v>102</v>
      </c>
      <c r="I60" s="35" t="s">
        <v>102</v>
      </c>
      <c r="J60" s="34" t="n">
        <v>30</v>
      </c>
      <c r="K60" s="35" t="n">
        <v>87.3248</v>
      </c>
      <c r="L60" s="35"/>
      <c r="M60" s="36"/>
    </row>
    <row r="61" customFormat="false" ht="14.25" hidden="false" customHeight="true" outlineLevel="0" collapsed="false">
      <c r="B61" s="106"/>
      <c r="C61" s="108" t="s">
        <v>101</v>
      </c>
      <c r="D61" s="110" t="n">
        <f aca="false">D60</f>
        <v>30</v>
      </c>
      <c r="E61" s="110" t="s">
        <v>102</v>
      </c>
      <c r="F61" s="112" t="n">
        <f aca="false">F60</f>
        <v>94.682844</v>
      </c>
      <c r="G61" s="110" t="s">
        <v>102</v>
      </c>
      <c r="H61" s="110" t="s">
        <v>102</v>
      </c>
      <c r="I61" s="110" t="s">
        <v>102</v>
      </c>
      <c r="J61" s="109" t="n">
        <f aca="false">J60</f>
        <v>30</v>
      </c>
      <c r="K61" s="110" t="n">
        <f aca="false">K60</f>
        <v>87.3248</v>
      </c>
      <c r="L61" s="63"/>
      <c r="M61" s="64"/>
    </row>
    <row r="64" customFormat="false" ht="15" hidden="false" customHeight="true" outlineLevel="0" collapsed="false">
      <c r="B64" s="106" t="s">
        <v>21</v>
      </c>
      <c r="C64" s="74" t="n">
        <v>1</v>
      </c>
      <c r="D64" s="100" t="n">
        <v>40</v>
      </c>
      <c r="E64" s="101" t="n">
        <v>3</v>
      </c>
      <c r="F64" s="101" t="n">
        <f aca="false">D64*E64</f>
        <v>120</v>
      </c>
      <c r="G64" s="101" t="n">
        <v>18</v>
      </c>
      <c r="H64" s="101" t="n">
        <v>120</v>
      </c>
      <c r="I64" s="101" t="n">
        <v>40</v>
      </c>
      <c r="J64" s="107" t="n">
        <v>40</v>
      </c>
      <c r="K64" s="101" t="n">
        <v>130.3667</v>
      </c>
      <c r="L64" s="101" t="n">
        <f aca="false">ABS((J64-D64)/D64)</f>
        <v>0</v>
      </c>
      <c r="M64" s="80" t="n">
        <f aca="false">ABS((K64-F64)/F64)</f>
        <v>0.0863891666666667</v>
      </c>
    </row>
    <row r="65" customFormat="false" ht="15" hidden="false" customHeight="true" outlineLevel="0" collapsed="false">
      <c r="B65" s="106"/>
      <c r="C65" s="1" t="n">
        <v>2</v>
      </c>
      <c r="D65" s="34" t="n">
        <v>40</v>
      </c>
      <c r="E65" s="35" t="n">
        <v>3</v>
      </c>
      <c r="F65" s="35" t="n">
        <f aca="false">D65*E65</f>
        <v>120</v>
      </c>
      <c r="G65" s="35" t="n">
        <v>18</v>
      </c>
      <c r="H65" s="35" t="n">
        <v>120</v>
      </c>
      <c r="I65" s="35" t="n">
        <v>40</v>
      </c>
      <c r="J65" s="1" t="n">
        <v>40</v>
      </c>
      <c r="K65" s="35" t="n">
        <v>130.3418</v>
      </c>
      <c r="L65" s="35" t="n">
        <f aca="false">ABS((J65-D65)/D65)</f>
        <v>0</v>
      </c>
      <c r="M65" s="36" t="n">
        <f aca="false">ABS((K65-F65)/F65)</f>
        <v>0.0861816666666667</v>
      </c>
    </row>
    <row r="66" customFormat="false" ht="15" hidden="false" customHeight="true" outlineLevel="0" collapsed="false">
      <c r="B66" s="106"/>
      <c r="C66" s="1" t="n">
        <v>3</v>
      </c>
      <c r="D66" s="34" t="n">
        <v>40</v>
      </c>
      <c r="E66" s="35" t="n">
        <v>3</v>
      </c>
      <c r="F66" s="35" t="n">
        <f aca="false">D66*E66</f>
        <v>120</v>
      </c>
      <c r="G66" s="35" t="n">
        <v>18</v>
      </c>
      <c r="H66" s="35" t="n">
        <v>120</v>
      </c>
      <c r="I66" s="35" t="n">
        <v>40</v>
      </c>
      <c r="J66" s="1" t="n">
        <v>40</v>
      </c>
      <c r="K66" s="35" t="n">
        <v>130.648</v>
      </c>
      <c r="L66" s="35" t="n">
        <f aca="false">ABS((J66-D66)/D66)</f>
        <v>0</v>
      </c>
      <c r="M66" s="36" t="n">
        <f aca="false">ABS((K66-F66)/F66)</f>
        <v>0.0887333333333333</v>
      </c>
    </row>
    <row r="67" customFormat="false" ht="15" hidden="false" customHeight="true" outlineLevel="0" collapsed="false">
      <c r="B67" s="106"/>
      <c r="C67" s="1" t="n">
        <v>4</v>
      </c>
      <c r="D67" s="34" t="n">
        <v>40</v>
      </c>
      <c r="E67" s="35" t="n">
        <v>3</v>
      </c>
      <c r="F67" s="35" t="n">
        <f aca="false">D67*E67</f>
        <v>120</v>
      </c>
      <c r="G67" s="35" t="n">
        <v>18</v>
      </c>
      <c r="H67" s="35" t="n">
        <v>120</v>
      </c>
      <c r="I67" s="35" t="n">
        <v>40</v>
      </c>
      <c r="J67" s="1" t="n">
        <v>40</v>
      </c>
      <c r="K67" s="35" t="n">
        <v>131.5078</v>
      </c>
      <c r="L67" s="35" t="n">
        <f aca="false">ABS((J67-D67)/D67)</f>
        <v>0</v>
      </c>
      <c r="M67" s="36" t="n">
        <f aca="false">ABS((K67-F67)/F67)</f>
        <v>0.0958983333333334</v>
      </c>
    </row>
    <row r="68" customFormat="false" ht="15" hidden="false" customHeight="true" outlineLevel="0" collapsed="false">
      <c r="B68" s="106"/>
      <c r="C68" s="1" t="n">
        <v>5</v>
      </c>
      <c r="D68" s="34" t="n">
        <v>40</v>
      </c>
      <c r="E68" s="35" t="n">
        <v>3</v>
      </c>
      <c r="F68" s="35" t="n">
        <f aca="false">D68*E68</f>
        <v>120</v>
      </c>
      <c r="G68" s="35" t="n">
        <v>18</v>
      </c>
      <c r="H68" s="35" t="n">
        <v>120</v>
      </c>
      <c r="I68" s="35" t="n">
        <v>40</v>
      </c>
      <c r="J68" s="1" t="n">
        <v>40</v>
      </c>
      <c r="K68" s="35" t="n">
        <v>128.0169</v>
      </c>
      <c r="L68" s="35" t="n">
        <f aca="false">ABS((J68-D68)/D68)</f>
        <v>0</v>
      </c>
      <c r="M68" s="36" t="n">
        <f aca="false">ABS((K68-F68)/F68)</f>
        <v>0.0668074999999999</v>
      </c>
    </row>
    <row r="69" customFormat="false" ht="15" hidden="false" customHeight="true" outlineLevel="0" collapsed="false">
      <c r="B69" s="106"/>
      <c r="C69" s="1" t="n">
        <v>6</v>
      </c>
      <c r="D69" s="34" t="n">
        <v>40</v>
      </c>
      <c r="E69" s="35" t="n">
        <v>3</v>
      </c>
      <c r="F69" s="35" t="n">
        <f aca="false">D69*E69</f>
        <v>120</v>
      </c>
      <c r="G69" s="35" t="n">
        <v>18</v>
      </c>
      <c r="H69" s="35" t="n">
        <v>120</v>
      </c>
      <c r="I69" s="35" t="n">
        <v>40</v>
      </c>
      <c r="J69" s="1" t="n">
        <v>40</v>
      </c>
      <c r="K69" s="35" t="n">
        <v>130.9131</v>
      </c>
      <c r="L69" s="35" t="n">
        <f aca="false">ABS((J69-D69)/D69)</f>
        <v>0</v>
      </c>
      <c r="M69" s="36" t="n">
        <f aca="false">ABS((K69-F69)/F69)</f>
        <v>0.0909424999999999</v>
      </c>
    </row>
    <row r="70" customFormat="false" ht="15" hidden="false" customHeight="true" outlineLevel="0" collapsed="false">
      <c r="B70" s="106"/>
      <c r="C70" s="1" t="n">
        <v>7</v>
      </c>
      <c r="D70" s="34" t="n">
        <v>40</v>
      </c>
      <c r="E70" s="35" t="n">
        <v>3</v>
      </c>
      <c r="F70" s="35" t="n">
        <f aca="false">D70*E70</f>
        <v>120</v>
      </c>
      <c r="G70" s="35" t="n">
        <v>18</v>
      </c>
      <c r="H70" s="35" t="n">
        <v>120</v>
      </c>
      <c r="I70" s="35" t="n">
        <v>40</v>
      </c>
      <c r="J70" s="1" t="n">
        <v>40</v>
      </c>
      <c r="K70" s="35" t="n">
        <v>130.8764</v>
      </c>
      <c r="L70" s="35" t="n">
        <f aca="false">ABS((J70-D70)/D70)</f>
        <v>0</v>
      </c>
      <c r="M70" s="36" t="n">
        <f aca="false">ABS((K70-F70)/F70)</f>
        <v>0.0906366666666666</v>
      </c>
    </row>
    <row r="71" customFormat="false" ht="15" hidden="false" customHeight="true" outlineLevel="0" collapsed="false">
      <c r="B71" s="106"/>
      <c r="C71" s="1" t="n">
        <v>8</v>
      </c>
      <c r="D71" s="34" t="n">
        <v>40</v>
      </c>
      <c r="E71" s="35" t="n">
        <v>3</v>
      </c>
      <c r="F71" s="35" t="n">
        <f aca="false">D71*E71</f>
        <v>120</v>
      </c>
      <c r="G71" s="35" t="n">
        <v>18</v>
      </c>
      <c r="H71" s="35" t="n">
        <v>120</v>
      </c>
      <c r="I71" s="35" t="n">
        <v>40</v>
      </c>
      <c r="J71" s="1" t="n">
        <v>40</v>
      </c>
      <c r="K71" s="35" t="n">
        <v>130.8097</v>
      </c>
      <c r="L71" s="35" t="n">
        <f aca="false">ABS((J71-D71)/D71)</f>
        <v>0</v>
      </c>
      <c r="M71" s="36" t="n">
        <f aca="false">ABS((K71-F71)/F71)</f>
        <v>0.0900808333333333</v>
      </c>
    </row>
    <row r="72" customFormat="false" ht="15" hidden="false" customHeight="true" outlineLevel="0" collapsed="false">
      <c r="B72" s="106"/>
      <c r="C72" s="1" t="n">
        <v>9</v>
      </c>
      <c r="D72" s="34" t="n">
        <v>40</v>
      </c>
      <c r="E72" s="35" t="n">
        <v>3</v>
      </c>
      <c r="F72" s="35" t="n">
        <f aca="false">D72*E72</f>
        <v>120</v>
      </c>
      <c r="G72" s="35" t="n">
        <v>18</v>
      </c>
      <c r="H72" s="35" t="n">
        <v>120</v>
      </c>
      <c r="I72" s="35" t="n">
        <v>40</v>
      </c>
      <c r="J72" s="1" t="n">
        <v>40</v>
      </c>
      <c r="K72" s="35" t="n">
        <v>131.7166</v>
      </c>
      <c r="L72" s="35" t="n">
        <f aca="false">ABS((J72-D72)/D72)</f>
        <v>0</v>
      </c>
      <c r="M72" s="36" t="n">
        <f aca="false">ABS((K72-F72)/F72)</f>
        <v>0.0976383333333333</v>
      </c>
    </row>
    <row r="73" customFormat="false" ht="15" hidden="false" customHeight="true" outlineLevel="0" collapsed="false">
      <c r="B73" s="106"/>
      <c r="C73" s="1" t="n">
        <v>10</v>
      </c>
      <c r="D73" s="34" t="n">
        <v>40</v>
      </c>
      <c r="E73" s="35" t="n">
        <v>3</v>
      </c>
      <c r="F73" s="35" t="n">
        <f aca="false">D73*E73</f>
        <v>120</v>
      </c>
      <c r="G73" s="35" t="n">
        <v>18</v>
      </c>
      <c r="H73" s="35" t="n">
        <v>120</v>
      </c>
      <c r="I73" s="35" t="n">
        <v>40</v>
      </c>
      <c r="J73" s="1" t="n">
        <v>40</v>
      </c>
      <c r="K73" s="35" t="n">
        <v>131.2452</v>
      </c>
      <c r="L73" s="35" t="n">
        <f aca="false">ABS((J73-D73)/D73)</f>
        <v>0</v>
      </c>
      <c r="M73" s="36" t="n">
        <f aca="false">ABS((K73-F73)/F73)</f>
        <v>0.0937100000000001</v>
      </c>
    </row>
    <row r="74" customFormat="false" ht="15" hidden="false" customHeight="true" outlineLevel="0" collapsed="false">
      <c r="B74" s="106"/>
      <c r="C74" s="1" t="n">
        <v>11</v>
      </c>
      <c r="D74" s="34" t="n">
        <v>40</v>
      </c>
      <c r="E74" s="35" t="n">
        <v>3</v>
      </c>
      <c r="F74" s="35" t="n">
        <f aca="false">D74*E74</f>
        <v>120</v>
      </c>
      <c r="G74" s="35" t="n">
        <v>18</v>
      </c>
      <c r="H74" s="35" t="n">
        <v>120</v>
      </c>
      <c r="I74" s="35" t="n">
        <v>40</v>
      </c>
      <c r="J74" s="1" t="n">
        <v>40</v>
      </c>
      <c r="K74" s="35" t="n">
        <v>131.1722</v>
      </c>
      <c r="L74" s="35" t="n">
        <f aca="false">ABS((J74-D74)/D74)</f>
        <v>0</v>
      </c>
      <c r="M74" s="36" t="n">
        <f aca="false">ABS((K74-F74)/F74)</f>
        <v>0.0931016666666667</v>
      </c>
    </row>
    <row r="75" customFormat="false" ht="15" hidden="false" customHeight="true" outlineLevel="0" collapsed="false">
      <c r="B75" s="106"/>
      <c r="C75" s="108" t="s">
        <v>101</v>
      </c>
      <c r="D75" s="109" t="n">
        <f aca="false">SUM(D64:D74)</f>
        <v>440</v>
      </c>
      <c r="E75" s="110" t="s">
        <v>102</v>
      </c>
      <c r="F75" s="110" t="n">
        <f aca="false">SUM(F64:F74)</f>
        <v>1320</v>
      </c>
      <c r="G75" s="110" t="s">
        <v>102</v>
      </c>
      <c r="H75" s="110" t="s">
        <v>102</v>
      </c>
      <c r="I75" s="110" t="s">
        <v>102</v>
      </c>
      <c r="J75" s="109" t="n">
        <f aca="false">SUM(J64:J74)</f>
        <v>440</v>
      </c>
      <c r="K75" s="110" t="n">
        <f aca="false">SUM(K64:K74)</f>
        <v>1437.6144</v>
      </c>
      <c r="L75" s="63"/>
      <c r="M75" s="64"/>
    </row>
    <row r="76" customFormat="false" ht="15" hidden="false" customHeight="true" outlineLevel="0" collapsed="false">
      <c r="B76" s="106" t="s">
        <v>26</v>
      </c>
      <c r="C76" s="107" t="n">
        <v>1</v>
      </c>
      <c r="D76" s="34" t="n">
        <v>40</v>
      </c>
      <c r="E76" s="35" t="n">
        <v>3</v>
      </c>
      <c r="F76" s="35" t="n">
        <f aca="false">D76*E76</f>
        <v>120</v>
      </c>
      <c r="G76" s="35" t="n">
        <v>18</v>
      </c>
      <c r="H76" s="35" t="n">
        <v>120</v>
      </c>
      <c r="I76" s="35" t="n">
        <v>40</v>
      </c>
      <c r="J76" s="1" t="n">
        <v>40</v>
      </c>
      <c r="K76" s="35" t="n">
        <v>129.4749</v>
      </c>
      <c r="L76" s="35" t="n">
        <f aca="false">ABS((J76-D76)/D76)</f>
        <v>0</v>
      </c>
      <c r="M76" s="36" t="n">
        <f aca="false">ABS((K76-F76)/F76)</f>
        <v>0.0789574999999999</v>
      </c>
    </row>
    <row r="77" customFormat="false" ht="15" hidden="false" customHeight="true" outlineLevel="0" collapsed="false">
      <c r="B77" s="106"/>
      <c r="C77" s="1" t="n">
        <v>2</v>
      </c>
      <c r="D77" s="34" t="n">
        <v>80</v>
      </c>
      <c r="E77" s="35" t="n">
        <v>3</v>
      </c>
      <c r="F77" s="35" t="n">
        <f aca="false">D77*E77</f>
        <v>240</v>
      </c>
      <c r="G77" s="35" t="n">
        <v>18</v>
      </c>
      <c r="H77" s="35" t="n">
        <v>120</v>
      </c>
      <c r="I77" s="35" t="n">
        <v>40</v>
      </c>
      <c r="J77" s="1" t="n">
        <v>80</v>
      </c>
      <c r="K77" s="35" t="n">
        <v>260.7989</v>
      </c>
      <c r="L77" s="35" t="n">
        <f aca="false">ABS((J77-D77)/D77)</f>
        <v>0</v>
      </c>
      <c r="M77" s="36" t="n">
        <f aca="false">ABS((K77-F77)/F77)</f>
        <v>0.0866620833333334</v>
      </c>
    </row>
    <row r="78" customFormat="false" ht="15" hidden="false" customHeight="true" outlineLevel="0" collapsed="false">
      <c r="B78" s="106"/>
      <c r="C78" s="1" t="n">
        <v>3</v>
      </c>
      <c r="D78" s="34" t="n">
        <v>16</v>
      </c>
      <c r="E78" s="35" t="n">
        <v>3</v>
      </c>
      <c r="F78" s="35" t="n">
        <f aca="false">D78*E78</f>
        <v>48</v>
      </c>
      <c r="G78" s="35" t="n">
        <v>18</v>
      </c>
      <c r="H78" s="35" t="n">
        <v>120</v>
      </c>
      <c r="I78" s="35" t="n">
        <v>40</v>
      </c>
      <c r="J78" s="1" t="n">
        <v>12</v>
      </c>
      <c r="K78" s="35" t="n">
        <v>38.5496</v>
      </c>
      <c r="L78" s="35" t="n">
        <f aca="false">ABS((J78-D78)/D78)</f>
        <v>0.25</v>
      </c>
      <c r="M78" s="36" t="n">
        <f aca="false">ABS((K78-F78)/F78)</f>
        <v>0.196883333333333</v>
      </c>
    </row>
    <row r="79" customFormat="false" ht="15" hidden="false" customHeight="true" outlineLevel="0" collapsed="false">
      <c r="B79" s="106"/>
      <c r="C79" s="1" t="n">
        <v>4</v>
      </c>
      <c r="D79" s="34" t="n">
        <v>80</v>
      </c>
      <c r="E79" s="35" t="n">
        <v>3</v>
      </c>
      <c r="F79" s="35" t="n">
        <f aca="false">D79*E79</f>
        <v>240</v>
      </c>
      <c r="G79" s="35" t="n">
        <v>18</v>
      </c>
      <c r="H79" s="35" t="n">
        <v>120</v>
      </c>
      <c r="I79" s="35" t="n">
        <v>40</v>
      </c>
      <c r="J79" s="1" t="n">
        <v>80</v>
      </c>
      <c r="K79" s="35" t="n">
        <v>263.7534</v>
      </c>
      <c r="L79" s="35" t="n">
        <f aca="false">ABS((J79-D79)/D79)</f>
        <v>0</v>
      </c>
      <c r="M79" s="36" t="n">
        <f aca="false">ABS((K79-F79)/F79)</f>
        <v>0.0989725</v>
      </c>
    </row>
    <row r="80" customFormat="false" ht="15" hidden="false" customHeight="true" outlineLevel="0" collapsed="false">
      <c r="B80" s="106"/>
      <c r="C80" s="1" t="n">
        <v>5</v>
      </c>
      <c r="D80" s="34" t="n">
        <v>40</v>
      </c>
      <c r="E80" s="35" t="n">
        <v>3</v>
      </c>
      <c r="F80" s="35" t="n">
        <f aca="false">D80*E80</f>
        <v>120</v>
      </c>
      <c r="G80" s="35" t="n">
        <v>18</v>
      </c>
      <c r="H80" s="35" t="n">
        <v>120</v>
      </c>
      <c r="I80" s="35" t="n">
        <v>40</v>
      </c>
      <c r="J80" s="1" t="n">
        <v>40</v>
      </c>
      <c r="K80" s="35" t="n">
        <v>129.3647</v>
      </c>
      <c r="L80" s="35" t="n">
        <f aca="false">ABS((J80-D80)/D80)</f>
        <v>0</v>
      </c>
      <c r="M80" s="36" t="n">
        <f aca="false">ABS((K80-F80)/F80)</f>
        <v>0.0780391666666667</v>
      </c>
    </row>
    <row r="81" customFormat="false" ht="15" hidden="false" customHeight="true" outlineLevel="0" collapsed="false">
      <c r="B81" s="106"/>
      <c r="C81" s="1" t="n">
        <v>6</v>
      </c>
      <c r="D81" s="34" t="n">
        <v>37</v>
      </c>
      <c r="E81" s="35" t="n">
        <v>3</v>
      </c>
      <c r="F81" s="35" t="n">
        <f aca="false">D81*E81</f>
        <v>111</v>
      </c>
      <c r="G81" s="35" t="n">
        <v>18</v>
      </c>
      <c r="H81" s="35" t="n">
        <v>120</v>
      </c>
      <c r="I81" s="35" t="n">
        <v>40</v>
      </c>
      <c r="J81" s="1" t="n">
        <v>21</v>
      </c>
      <c r="K81" s="35" t="n">
        <v>67.044</v>
      </c>
      <c r="L81" s="35" t="n">
        <f aca="false">ABS((J81-D81)/D81)</f>
        <v>0.432432432432432</v>
      </c>
      <c r="M81" s="36" t="n">
        <f aca="false">ABS((K81-F81)/F81)</f>
        <v>0.396</v>
      </c>
    </row>
    <row r="82" customFormat="false" ht="15" hidden="false" customHeight="true" outlineLevel="0" collapsed="false">
      <c r="B82" s="106"/>
      <c r="C82" s="1" t="n">
        <v>7</v>
      </c>
      <c r="D82" s="34" t="n">
        <v>140</v>
      </c>
      <c r="E82" s="35" t="n">
        <v>3</v>
      </c>
      <c r="F82" s="35" t="n">
        <f aca="false">D82*E82</f>
        <v>420</v>
      </c>
      <c r="G82" s="35" t="n">
        <v>18</v>
      </c>
      <c r="H82" s="35" t="n">
        <v>120</v>
      </c>
      <c r="I82" s="35" t="n">
        <v>40</v>
      </c>
      <c r="J82" s="1" t="n">
        <v>130</v>
      </c>
      <c r="K82" s="35" t="n">
        <v>422.6617</v>
      </c>
      <c r="L82" s="35" t="n">
        <f aca="false">ABS((J82-D82)/D82)</f>
        <v>0.0714285714285714</v>
      </c>
      <c r="M82" s="36" t="n">
        <f aca="false">ABS((K82-F82)/F82)</f>
        <v>0.00633738095238094</v>
      </c>
    </row>
    <row r="83" customFormat="false" ht="15" hidden="false" customHeight="true" outlineLevel="0" collapsed="false">
      <c r="B83" s="106"/>
      <c r="C83" s="108" t="s">
        <v>101</v>
      </c>
      <c r="D83" s="109" t="n">
        <f aca="false">SUM(D76:D82)</f>
        <v>433</v>
      </c>
      <c r="E83" s="110" t="s">
        <v>102</v>
      </c>
      <c r="F83" s="110" t="n">
        <f aca="false">SUM(F76:F82)</f>
        <v>1299</v>
      </c>
      <c r="G83" s="110" t="s">
        <v>102</v>
      </c>
      <c r="H83" s="110" t="s">
        <v>102</v>
      </c>
      <c r="I83" s="110" t="s">
        <v>102</v>
      </c>
      <c r="J83" s="109" t="n">
        <f aca="false">SUM(J76:J82)</f>
        <v>403</v>
      </c>
      <c r="K83" s="110" t="n">
        <f aca="false">SUM(K76:K82)</f>
        <v>1311.6472</v>
      </c>
      <c r="L83" s="63"/>
      <c r="M83" s="64"/>
    </row>
    <row r="84" customFormat="false" ht="15" hidden="false" customHeight="true" outlineLevel="0" collapsed="false">
      <c r="B84" s="106" t="s">
        <v>31</v>
      </c>
      <c r="C84" s="107" t="n">
        <v>1</v>
      </c>
      <c r="D84" s="34" t="n">
        <v>100</v>
      </c>
      <c r="E84" s="35" t="n">
        <v>3</v>
      </c>
      <c r="F84" s="35" t="n">
        <f aca="false">D84*E84</f>
        <v>300</v>
      </c>
      <c r="G84" s="35" t="n">
        <v>18</v>
      </c>
      <c r="H84" s="35" t="n">
        <v>120</v>
      </c>
      <c r="I84" s="35" t="n">
        <v>40</v>
      </c>
      <c r="J84" s="1" t="n">
        <v>100</v>
      </c>
      <c r="K84" s="35" t="n">
        <v>304.5612</v>
      </c>
      <c r="L84" s="35" t="n">
        <f aca="false">ABS((J84-D84)/D84)</f>
        <v>0</v>
      </c>
      <c r="M84" s="36" t="n">
        <f aca="false">ABS((K84-F84)/F84)</f>
        <v>0.015204</v>
      </c>
    </row>
    <row r="85" customFormat="false" ht="15" hidden="false" customHeight="true" outlineLevel="0" collapsed="false">
      <c r="B85" s="106"/>
      <c r="C85" s="1" t="n">
        <v>2</v>
      </c>
      <c r="D85" s="34" t="n">
        <v>100</v>
      </c>
      <c r="E85" s="35" t="n">
        <v>3</v>
      </c>
      <c r="F85" s="35" t="n">
        <f aca="false">D85*E85</f>
        <v>300</v>
      </c>
      <c r="G85" s="35" t="n">
        <v>18</v>
      </c>
      <c r="H85" s="35" t="n">
        <v>120</v>
      </c>
      <c r="I85" s="35" t="n">
        <v>40</v>
      </c>
      <c r="J85" s="1" t="n">
        <v>100</v>
      </c>
      <c r="K85" s="35" t="n">
        <v>305.0452</v>
      </c>
      <c r="L85" s="35" t="n">
        <f aca="false">ABS((J85-D85)/D85)</f>
        <v>0</v>
      </c>
      <c r="M85" s="36" t="n">
        <f aca="false">ABS((K85-F85)/F85)</f>
        <v>0.0168173333333334</v>
      </c>
    </row>
    <row r="86" customFormat="false" ht="15" hidden="false" customHeight="true" outlineLevel="0" collapsed="false">
      <c r="B86" s="106"/>
      <c r="C86" s="1" t="n">
        <v>3</v>
      </c>
      <c r="D86" s="34" t="n">
        <v>100</v>
      </c>
      <c r="E86" s="35" t="n">
        <v>3</v>
      </c>
      <c r="F86" s="35" t="n">
        <f aca="false">D86*E86</f>
        <v>300</v>
      </c>
      <c r="G86" s="35" t="n">
        <v>18</v>
      </c>
      <c r="H86" s="35" t="n">
        <v>120</v>
      </c>
      <c r="I86" s="35" t="n">
        <v>40</v>
      </c>
      <c r="J86" s="1" t="n">
        <v>99</v>
      </c>
      <c r="K86" s="35" t="n">
        <v>302.2399</v>
      </c>
      <c r="L86" s="35" t="n">
        <f aca="false">ABS((J86-D86)/D86)</f>
        <v>0.01</v>
      </c>
      <c r="M86" s="36" t="n">
        <f aca="false">ABS((K86-F86)/F86)</f>
        <v>0.00746633333333326</v>
      </c>
    </row>
    <row r="87" customFormat="false" ht="15" hidden="false" customHeight="true" outlineLevel="0" collapsed="false">
      <c r="B87" s="106"/>
      <c r="C87" s="1" t="n">
        <v>4</v>
      </c>
      <c r="D87" s="34" t="n">
        <v>80</v>
      </c>
      <c r="E87" s="35" t="n">
        <v>3</v>
      </c>
      <c r="F87" s="35" t="n">
        <f aca="false">D87*E87</f>
        <v>240</v>
      </c>
      <c r="G87" s="35" t="n">
        <v>18</v>
      </c>
      <c r="H87" s="35" t="n">
        <v>120</v>
      </c>
      <c r="I87" s="35" t="n">
        <v>40</v>
      </c>
      <c r="J87" s="1" t="n">
        <v>79</v>
      </c>
      <c r="K87" s="35" t="n">
        <v>241.0387</v>
      </c>
      <c r="L87" s="35" t="n">
        <f aca="false">ABS((J87-D87)/D87)</f>
        <v>0.0125</v>
      </c>
      <c r="M87" s="36" t="n">
        <f aca="false">ABS((K87-F87)/F87)</f>
        <v>0.00432791666666669</v>
      </c>
    </row>
    <row r="88" customFormat="false" ht="15" hidden="false" customHeight="true" outlineLevel="0" collapsed="false">
      <c r="B88" s="106"/>
      <c r="C88" s="1" t="n">
        <v>5</v>
      </c>
      <c r="D88" s="34" t="n">
        <v>70</v>
      </c>
      <c r="E88" s="35" t="n">
        <v>3</v>
      </c>
      <c r="F88" s="35" t="n">
        <f aca="false">D88*E88</f>
        <v>210</v>
      </c>
      <c r="G88" s="35" t="n">
        <v>18</v>
      </c>
      <c r="H88" s="35" t="n">
        <v>120</v>
      </c>
      <c r="I88" s="35" t="n">
        <v>40</v>
      </c>
      <c r="J88" s="1" t="n">
        <v>68</v>
      </c>
      <c r="K88" s="35" t="n">
        <v>205.4145</v>
      </c>
      <c r="L88" s="35" t="n">
        <f aca="false">ABS((J88-D88)/D88)</f>
        <v>0.0285714285714286</v>
      </c>
      <c r="M88" s="36" t="n">
        <f aca="false">ABS((K88-F88)/F88)</f>
        <v>0.0218357142857143</v>
      </c>
    </row>
    <row r="89" customFormat="false" ht="15" hidden="false" customHeight="true" outlineLevel="0" collapsed="false">
      <c r="B89" s="106"/>
      <c r="C89" s="108" t="s">
        <v>101</v>
      </c>
      <c r="D89" s="109" t="n">
        <f aca="false">SUM(D84:D88)</f>
        <v>450</v>
      </c>
      <c r="E89" s="110" t="s">
        <v>102</v>
      </c>
      <c r="F89" s="110" t="n">
        <f aca="false">SUM(F84:F88)</f>
        <v>1350</v>
      </c>
      <c r="G89" s="110" t="s">
        <v>102</v>
      </c>
      <c r="H89" s="110" t="s">
        <v>102</v>
      </c>
      <c r="I89" s="110" t="s">
        <v>102</v>
      </c>
      <c r="J89" s="109" t="n">
        <f aca="false">SUM(J84:J88)</f>
        <v>446</v>
      </c>
      <c r="K89" s="110" t="n">
        <f aca="false">SUM(K84:K88)</f>
        <v>1358.2995</v>
      </c>
      <c r="L89" s="63"/>
      <c r="M89" s="64"/>
    </row>
    <row r="90" customFormat="false" ht="15" hidden="false" customHeight="true" outlineLevel="0" collapsed="false">
      <c r="B90" s="106" t="s">
        <v>34</v>
      </c>
      <c r="C90" s="107" t="n">
        <v>1</v>
      </c>
      <c r="D90" s="34" t="n">
        <v>130</v>
      </c>
      <c r="E90" s="35" t="n">
        <v>3</v>
      </c>
      <c r="F90" s="35" t="n">
        <f aca="false">D90*E90</f>
        <v>390</v>
      </c>
      <c r="G90" s="35" t="n">
        <v>18</v>
      </c>
      <c r="H90" s="35" t="n">
        <v>120</v>
      </c>
      <c r="I90" s="35" t="n">
        <v>40</v>
      </c>
      <c r="J90" s="1" t="n">
        <v>129</v>
      </c>
      <c r="K90" s="35" t="n">
        <v>416.1451</v>
      </c>
      <c r="L90" s="35" t="n">
        <f aca="false">ABS((J90-D90)/D90)</f>
        <v>0.00769230769230769</v>
      </c>
      <c r="M90" s="36" t="n">
        <f aca="false">ABS((K90-F90)/F90)</f>
        <v>0.067038717948718</v>
      </c>
    </row>
    <row r="91" customFormat="false" ht="15" hidden="false" customHeight="true" outlineLevel="0" collapsed="false">
      <c r="B91" s="106"/>
      <c r="C91" s="1" t="n">
        <v>2</v>
      </c>
      <c r="D91" s="34" t="n">
        <v>100</v>
      </c>
      <c r="E91" s="35" t="n">
        <v>3</v>
      </c>
      <c r="F91" s="35" t="n">
        <f aca="false">D91*E91</f>
        <v>300</v>
      </c>
      <c r="G91" s="35" t="n">
        <v>18</v>
      </c>
      <c r="H91" s="35" t="n">
        <v>120</v>
      </c>
      <c r="I91" s="35" t="n">
        <v>40</v>
      </c>
      <c r="J91" s="1" t="n">
        <v>93</v>
      </c>
      <c r="K91" s="35" t="n">
        <v>300.3535</v>
      </c>
      <c r="L91" s="35" t="n">
        <f aca="false">ABS((J91-D91)/D91)</f>
        <v>0.07</v>
      </c>
      <c r="M91" s="36" t="n">
        <f aca="false">ABS((K91-F91)/F91)</f>
        <v>0.00117833333333332</v>
      </c>
    </row>
    <row r="92" customFormat="false" ht="15" hidden="false" customHeight="true" outlineLevel="0" collapsed="false">
      <c r="B92" s="106"/>
      <c r="C92" s="1" t="n">
        <v>3</v>
      </c>
      <c r="D92" s="34" t="n">
        <v>30</v>
      </c>
      <c r="E92" s="35" t="n">
        <v>3</v>
      </c>
      <c r="F92" s="35" t="n">
        <f aca="false">D92*E92</f>
        <v>90</v>
      </c>
      <c r="G92" s="35" t="n">
        <v>18</v>
      </c>
      <c r="H92" s="35" t="n">
        <v>120</v>
      </c>
      <c r="I92" s="35" t="n">
        <v>40</v>
      </c>
      <c r="J92" s="1" t="n">
        <v>30</v>
      </c>
      <c r="K92" s="35" t="n">
        <v>96.4904</v>
      </c>
      <c r="L92" s="35" t="n">
        <f aca="false">ABS((J92-D92)/D92)</f>
        <v>0</v>
      </c>
      <c r="M92" s="36" t="n">
        <f aca="false">ABS((K92-F92)/F92)</f>
        <v>0.0721155555555555</v>
      </c>
    </row>
    <row r="93" customFormat="false" ht="15" hidden="false" customHeight="true" outlineLevel="0" collapsed="false">
      <c r="B93" s="106"/>
      <c r="C93" s="1" t="n">
        <v>4</v>
      </c>
      <c r="D93" s="34" t="n">
        <v>140</v>
      </c>
      <c r="E93" s="35" t="n">
        <v>3</v>
      </c>
      <c r="F93" s="35" t="n">
        <f aca="false">D93*E93</f>
        <v>420</v>
      </c>
      <c r="G93" s="35" t="n">
        <v>18</v>
      </c>
      <c r="H93" s="35" t="n">
        <v>120</v>
      </c>
      <c r="I93" s="35" t="n">
        <v>40</v>
      </c>
      <c r="J93" s="1" t="n">
        <v>136</v>
      </c>
      <c r="K93" s="35" t="n">
        <v>437.8052</v>
      </c>
      <c r="L93" s="35" t="n">
        <f aca="false">ABS((J93-D93)/D93)</f>
        <v>0.0285714285714286</v>
      </c>
      <c r="M93" s="36" t="n">
        <f aca="false">ABS((K93-F93)/F93)</f>
        <v>0.0423933333333334</v>
      </c>
    </row>
    <row r="94" customFormat="false" ht="15" hidden="false" customHeight="true" outlineLevel="0" collapsed="false">
      <c r="B94" s="106"/>
      <c r="C94" s="1" t="n">
        <v>5</v>
      </c>
      <c r="D94" s="34" t="n">
        <v>130</v>
      </c>
      <c r="E94" s="35" t="n">
        <v>3</v>
      </c>
      <c r="F94" s="35" t="n">
        <f aca="false">D94*E94</f>
        <v>390</v>
      </c>
      <c r="G94" s="35" t="n">
        <v>18</v>
      </c>
      <c r="H94" s="35" t="n">
        <v>120</v>
      </c>
      <c r="I94" s="35" t="n">
        <v>40</v>
      </c>
      <c r="J94" s="1" t="n">
        <v>102</v>
      </c>
      <c r="K94" s="35" t="n">
        <v>331.6947</v>
      </c>
      <c r="L94" s="35" t="n">
        <f aca="false">ABS((J94-D94)/D94)</f>
        <v>0.215384615384615</v>
      </c>
      <c r="M94" s="36" t="n">
        <f aca="false">ABS((K94-F94)/F94)</f>
        <v>0.149500769230769</v>
      </c>
    </row>
    <row r="95" customFormat="false" ht="15" hidden="false" customHeight="true" outlineLevel="0" collapsed="false">
      <c r="B95" s="106"/>
      <c r="C95" s="108" t="s">
        <v>101</v>
      </c>
      <c r="D95" s="109" t="n">
        <f aca="false">SUM(D90:D94)</f>
        <v>530</v>
      </c>
      <c r="E95" s="110" t="s">
        <v>102</v>
      </c>
      <c r="F95" s="110" t="n">
        <f aca="false">SUM(F90:F94)</f>
        <v>1590</v>
      </c>
      <c r="G95" s="110" t="s">
        <v>102</v>
      </c>
      <c r="H95" s="110" t="s">
        <v>102</v>
      </c>
      <c r="I95" s="110" t="s">
        <v>102</v>
      </c>
      <c r="J95" s="109" t="n">
        <f aca="false">SUM(J90:J94)</f>
        <v>490</v>
      </c>
      <c r="K95" s="110" t="n">
        <f aca="false">SUM(K90:K94)</f>
        <v>1582.4889</v>
      </c>
      <c r="L95" s="63"/>
      <c r="M95" s="64"/>
    </row>
    <row r="96" customFormat="false" ht="15" hidden="false" customHeight="true" outlineLevel="0" collapsed="false">
      <c r="B96" s="106" t="s">
        <v>36</v>
      </c>
      <c r="C96" s="107" t="n">
        <v>1</v>
      </c>
      <c r="D96" s="34" t="n">
        <v>80</v>
      </c>
      <c r="E96" s="35" t="n">
        <v>3</v>
      </c>
      <c r="F96" s="35" t="n">
        <f aca="false">D96*E96</f>
        <v>240</v>
      </c>
      <c r="G96" s="35" t="n">
        <v>18</v>
      </c>
      <c r="H96" s="35" t="n">
        <v>120</v>
      </c>
      <c r="I96" s="35" t="n">
        <v>40</v>
      </c>
      <c r="J96" s="1" t="n">
        <v>80</v>
      </c>
      <c r="K96" s="35" t="n">
        <v>248.9808</v>
      </c>
      <c r="L96" s="35" t="n">
        <f aca="false">ABS((J96-D96)/D96)</f>
        <v>0</v>
      </c>
      <c r="M96" s="36" t="n">
        <f aca="false">ABS((K96-F96)/F96)</f>
        <v>0.0374199999999999</v>
      </c>
    </row>
    <row r="97" customFormat="false" ht="15" hidden="false" customHeight="true" outlineLevel="0" collapsed="false">
      <c r="B97" s="106"/>
      <c r="C97" s="1" t="n">
        <v>2</v>
      </c>
      <c r="D97" s="34" t="n">
        <v>80</v>
      </c>
      <c r="E97" s="35" t="n">
        <v>3</v>
      </c>
      <c r="F97" s="35" t="n">
        <f aca="false">D97*E97</f>
        <v>240</v>
      </c>
      <c r="G97" s="35" t="n">
        <v>18</v>
      </c>
      <c r="H97" s="35" t="n">
        <v>120</v>
      </c>
      <c r="I97" s="35" t="n">
        <v>40</v>
      </c>
      <c r="J97" s="1" t="n">
        <v>80</v>
      </c>
      <c r="K97" s="35" t="n">
        <v>217.4221</v>
      </c>
      <c r="L97" s="35" t="n">
        <f aca="false">ABS((J97-D97)/D97)</f>
        <v>0</v>
      </c>
      <c r="M97" s="36" t="n">
        <f aca="false">ABS((K97-F97)/F97)</f>
        <v>0.0940745833333333</v>
      </c>
    </row>
    <row r="98" customFormat="false" ht="15" hidden="false" customHeight="true" outlineLevel="0" collapsed="false">
      <c r="B98" s="106"/>
      <c r="C98" s="1" t="n">
        <v>3</v>
      </c>
      <c r="D98" s="34" t="n">
        <v>80</v>
      </c>
      <c r="E98" s="35" t="n">
        <v>3</v>
      </c>
      <c r="F98" s="35" t="n">
        <f aca="false">D98*E98</f>
        <v>240</v>
      </c>
      <c r="G98" s="35" t="n">
        <v>18</v>
      </c>
      <c r="H98" s="35" t="n">
        <v>120</v>
      </c>
      <c r="I98" s="35" t="n">
        <v>40</v>
      </c>
      <c r="J98" s="1" t="n">
        <v>67</v>
      </c>
      <c r="K98" s="35" t="n">
        <v>192.0866</v>
      </c>
      <c r="L98" s="35" t="n">
        <f aca="false">ABS((J98-D98)/D98)</f>
        <v>0.1625</v>
      </c>
      <c r="M98" s="36" t="n">
        <f aca="false">ABS((K98-F98)/F98)</f>
        <v>0.199639166666667</v>
      </c>
    </row>
    <row r="99" customFormat="false" ht="15" hidden="false" customHeight="true" outlineLevel="0" collapsed="false">
      <c r="B99" s="106"/>
      <c r="C99" s="1" t="n">
        <v>4</v>
      </c>
      <c r="D99" s="34" t="n">
        <v>80</v>
      </c>
      <c r="E99" s="35" t="n">
        <v>3</v>
      </c>
      <c r="F99" s="35" t="n">
        <f aca="false">D99*E99</f>
        <v>240</v>
      </c>
      <c r="G99" s="35" t="n">
        <v>18</v>
      </c>
      <c r="H99" s="35" t="n">
        <v>120</v>
      </c>
      <c r="I99" s="35" t="n">
        <v>40</v>
      </c>
      <c r="J99" s="1" t="n">
        <v>72</v>
      </c>
      <c r="K99" s="35" t="n">
        <v>204.1822</v>
      </c>
      <c r="L99" s="35" t="n">
        <f aca="false">ABS((J99-D99)/D99)</f>
        <v>0.1</v>
      </c>
      <c r="M99" s="36" t="n">
        <f aca="false">ABS((K99-F99)/F99)</f>
        <v>0.149240833333333</v>
      </c>
    </row>
    <row r="100" customFormat="false" ht="15" hidden="false" customHeight="true" outlineLevel="0" collapsed="false">
      <c r="B100" s="106"/>
      <c r="C100" s="1" t="n">
        <v>6</v>
      </c>
      <c r="D100" s="34" t="n">
        <v>16</v>
      </c>
      <c r="E100" s="35" t="n">
        <v>3</v>
      </c>
      <c r="F100" s="35" t="n">
        <f aca="false">D100*E100</f>
        <v>48</v>
      </c>
      <c r="G100" s="35" t="n">
        <v>18</v>
      </c>
      <c r="H100" s="35" t="n">
        <v>120</v>
      </c>
      <c r="I100" s="35" t="n">
        <v>40</v>
      </c>
      <c r="J100" s="1" t="n">
        <v>16</v>
      </c>
      <c r="K100" s="35" t="n">
        <v>40.5957</v>
      </c>
      <c r="L100" s="35" t="n">
        <f aca="false">ABS((J100-D100)/D100)</f>
        <v>0</v>
      </c>
      <c r="M100" s="36" t="n">
        <f aca="false">ABS((K100-F100)/F100)</f>
        <v>0.15425625</v>
      </c>
    </row>
    <row r="101" customFormat="false" ht="15" hidden="false" customHeight="true" outlineLevel="0" collapsed="false">
      <c r="B101" s="106"/>
      <c r="C101" s="1" t="n">
        <v>7</v>
      </c>
      <c r="D101" s="34" t="n">
        <v>70</v>
      </c>
      <c r="E101" s="35" t="n">
        <v>3</v>
      </c>
      <c r="F101" s="35" t="n">
        <f aca="false">D101*E101</f>
        <v>210</v>
      </c>
      <c r="G101" s="35" t="n">
        <v>18</v>
      </c>
      <c r="H101" s="35" t="n">
        <v>120</v>
      </c>
      <c r="I101" s="35" t="n">
        <v>40</v>
      </c>
      <c r="J101" s="1" t="n">
        <v>64</v>
      </c>
      <c r="K101" s="35" t="n">
        <v>193.9469</v>
      </c>
      <c r="L101" s="35" t="n">
        <f aca="false">ABS((J101-D101)/D101)</f>
        <v>0.0857142857142857</v>
      </c>
      <c r="M101" s="36" t="n">
        <f aca="false">ABS((K101-F101)/F101)</f>
        <v>0.0764433333333333</v>
      </c>
    </row>
    <row r="102" customFormat="false" ht="15" hidden="false" customHeight="true" outlineLevel="0" collapsed="false">
      <c r="B102" s="106"/>
      <c r="C102" s="1" t="n">
        <v>8</v>
      </c>
      <c r="D102" s="34" t="n">
        <v>80</v>
      </c>
      <c r="E102" s="35" t="n">
        <v>3</v>
      </c>
      <c r="F102" s="35" t="n">
        <f aca="false">D102*E102</f>
        <v>240</v>
      </c>
      <c r="G102" s="35" t="n">
        <v>18</v>
      </c>
      <c r="H102" s="35" t="n">
        <v>120</v>
      </c>
      <c r="I102" s="35" t="n">
        <v>40</v>
      </c>
      <c r="J102" s="1" t="n">
        <v>81</v>
      </c>
      <c r="K102" s="35" t="n">
        <v>244.8702</v>
      </c>
      <c r="L102" s="35" t="n">
        <f aca="false">ABS((J102-D102)/D102)</f>
        <v>0.0125</v>
      </c>
      <c r="M102" s="36" t="n">
        <f aca="false">ABS((K102-F102)/F102)</f>
        <v>0.0202925</v>
      </c>
    </row>
    <row r="103" customFormat="false" ht="15" hidden="false" customHeight="true" outlineLevel="0" collapsed="false">
      <c r="B103" s="106"/>
      <c r="C103" s="1" t="n">
        <v>9</v>
      </c>
      <c r="D103" s="34" t="n">
        <v>50</v>
      </c>
      <c r="E103" s="35" t="n">
        <v>3</v>
      </c>
      <c r="F103" s="35" t="n">
        <f aca="false">D103*E103</f>
        <v>150</v>
      </c>
      <c r="G103" s="35" t="n">
        <v>18</v>
      </c>
      <c r="H103" s="35" t="n">
        <v>120</v>
      </c>
      <c r="I103" s="35" t="n">
        <v>40</v>
      </c>
      <c r="J103" s="1" t="n">
        <v>45</v>
      </c>
      <c r="K103" s="35" t="n">
        <v>108.8794</v>
      </c>
      <c r="L103" s="35" t="n">
        <f aca="false">ABS((J103-D103)/D103)</f>
        <v>0.1</v>
      </c>
      <c r="M103" s="36" t="n">
        <f aca="false">ABS((K103-F103)/F103)</f>
        <v>0.274137333333333</v>
      </c>
    </row>
    <row r="104" customFormat="false" ht="15" hidden="false" customHeight="true" outlineLevel="0" collapsed="false">
      <c r="B104" s="106"/>
      <c r="C104" s="108" t="s">
        <v>101</v>
      </c>
      <c r="D104" s="109" t="n">
        <f aca="false">SUM(D96:D103)</f>
        <v>536</v>
      </c>
      <c r="E104" s="110" t="s">
        <v>102</v>
      </c>
      <c r="F104" s="110" t="n">
        <f aca="false">SUM(F96:F103)</f>
        <v>1608</v>
      </c>
      <c r="G104" s="110" t="s">
        <v>102</v>
      </c>
      <c r="H104" s="110" t="s">
        <v>102</v>
      </c>
      <c r="I104" s="110" t="s">
        <v>102</v>
      </c>
      <c r="J104" s="109" t="n">
        <f aca="false">SUM(J96:J103)</f>
        <v>505</v>
      </c>
      <c r="K104" s="110" t="n">
        <f aca="false">SUM(K96:K103)</f>
        <v>1450.9639</v>
      </c>
      <c r="L104" s="63"/>
      <c r="M104" s="64"/>
    </row>
    <row r="105" customFormat="false" ht="15" hidden="false" customHeight="true" outlineLevel="0" collapsed="false">
      <c r="B105" s="106" t="s">
        <v>37</v>
      </c>
      <c r="C105" s="107" t="n">
        <v>1</v>
      </c>
      <c r="D105" s="34" t="n">
        <v>80</v>
      </c>
      <c r="E105" s="35" t="n">
        <v>3</v>
      </c>
      <c r="F105" s="35" t="n">
        <f aca="false">D105*E105</f>
        <v>240</v>
      </c>
      <c r="G105" s="35" t="n">
        <v>18</v>
      </c>
      <c r="H105" s="35" t="n">
        <v>120</v>
      </c>
      <c r="I105" s="35" t="n">
        <v>40</v>
      </c>
      <c r="J105" s="1" t="n">
        <v>80</v>
      </c>
      <c r="K105" s="35" t="n">
        <v>267.6167</v>
      </c>
      <c r="L105" s="35" t="n">
        <f aca="false">ABS((J105-D105)/D105)</f>
        <v>0</v>
      </c>
      <c r="M105" s="36" t="n">
        <f aca="false">ABS((K105-F105)/F105)</f>
        <v>0.115069583333333</v>
      </c>
    </row>
    <row r="106" customFormat="false" ht="15" hidden="false" customHeight="true" outlineLevel="0" collapsed="false">
      <c r="B106" s="106"/>
      <c r="C106" s="1" t="n">
        <v>2</v>
      </c>
      <c r="D106" s="34" t="n">
        <v>80</v>
      </c>
      <c r="E106" s="35" t="n">
        <v>3</v>
      </c>
      <c r="F106" s="35" t="n">
        <f aca="false">D106*E106</f>
        <v>240</v>
      </c>
      <c r="G106" s="35" t="n">
        <v>18</v>
      </c>
      <c r="H106" s="35" t="n">
        <v>120</v>
      </c>
      <c r="I106" s="35" t="n">
        <v>40</v>
      </c>
      <c r="J106" s="1" t="n">
        <v>80</v>
      </c>
      <c r="K106" s="35" t="n">
        <v>265.7834</v>
      </c>
      <c r="L106" s="35" t="n">
        <f aca="false">ABS((J106-D106)/D106)</f>
        <v>0</v>
      </c>
      <c r="M106" s="36" t="n">
        <f aca="false">ABS((K106-F106)/F106)</f>
        <v>0.107430833333333</v>
      </c>
    </row>
    <row r="107" customFormat="false" ht="15" hidden="false" customHeight="true" outlineLevel="0" collapsed="false">
      <c r="B107" s="106"/>
      <c r="C107" s="1" t="n">
        <v>3</v>
      </c>
      <c r="D107" s="34" t="n">
        <v>80</v>
      </c>
      <c r="E107" s="35" t="n">
        <v>3</v>
      </c>
      <c r="F107" s="35" t="n">
        <f aca="false">D107*E107</f>
        <v>240</v>
      </c>
      <c r="G107" s="35" t="n">
        <v>18</v>
      </c>
      <c r="H107" s="35" t="n">
        <v>120</v>
      </c>
      <c r="I107" s="35" t="n">
        <v>40</v>
      </c>
      <c r="J107" s="1" t="n">
        <v>76</v>
      </c>
      <c r="K107" s="35" t="n">
        <v>228.9134</v>
      </c>
      <c r="L107" s="35" t="n">
        <f aca="false">ABS((J107-D107)/D107)</f>
        <v>0.05</v>
      </c>
      <c r="M107" s="36" t="n">
        <f aca="false">ABS((K107-F107)/F107)</f>
        <v>0.0461941666666667</v>
      </c>
    </row>
    <row r="108" customFormat="false" ht="15" hidden="false" customHeight="true" outlineLevel="0" collapsed="false">
      <c r="B108" s="106"/>
      <c r="C108" s="108" t="s">
        <v>101</v>
      </c>
      <c r="D108" s="109" t="n">
        <f aca="false">SUM(D105:D107)</f>
        <v>240</v>
      </c>
      <c r="E108" s="110" t="s">
        <v>102</v>
      </c>
      <c r="F108" s="110" t="n">
        <f aca="false">SUM(F105:F107)</f>
        <v>720</v>
      </c>
      <c r="G108" s="110" t="s">
        <v>102</v>
      </c>
      <c r="H108" s="110" t="s">
        <v>102</v>
      </c>
      <c r="I108" s="110" t="s">
        <v>102</v>
      </c>
      <c r="J108" s="109" t="n">
        <f aca="false">SUM(J105:J107)</f>
        <v>236</v>
      </c>
      <c r="K108" s="110" t="n">
        <f aca="false">SUM(K105:K107)</f>
        <v>762.3135</v>
      </c>
      <c r="L108" s="63"/>
      <c r="M108" s="64"/>
    </row>
    <row r="109" customFormat="false" ht="15" hidden="false" customHeight="true" outlineLevel="0" collapsed="false">
      <c r="B109" s="106" t="s">
        <v>105</v>
      </c>
      <c r="C109" s="107" t="n">
        <v>1</v>
      </c>
      <c r="D109" s="34" t="n">
        <v>80</v>
      </c>
      <c r="E109" s="35" t="n">
        <v>3</v>
      </c>
      <c r="F109" s="35" t="n">
        <f aca="false">D109*E109</f>
        <v>240</v>
      </c>
      <c r="G109" s="35" t="n">
        <v>18</v>
      </c>
      <c r="H109" s="35" t="n">
        <v>120</v>
      </c>
      <c r="I109" s="35" t="n">
        <v>40</v>
      </c>
      <c r="J109" s="1" t="n">
        <v>81</v>
      </c>
      <c r="K109" s="35" t="n">
        <v>249.6478</v>
      </c>
      <c r="L109" s="35" t="n">
        <f aca="false">ABS((J109-D109)/D109)</f>
        <v>0.0125</v>
      </c>
      <c r="M109" s="36" t="n">
        <f aca="false">ABS((K109-F109)/F109)</f>
        <v>0.0401991666666666</v>
      </c>
    </row>
    <row r="110" customFormat="false" ht="15" hidden="false" customHeight="true" outlineLevel="0" collapsed="false">
      <c r="B110" s="106"/>
      <c r="C110" s="1" t="n">
        <v>2</v>
      </c>
      <c r="D110" s="34" t="n">
        <v>80</v>
      </c>
      <c r="E110" s="35" t="n">
        <v>3</v>
      </c>
      <c r="F110" s="35" t="n">
        <f aca="false">D110*E110</f>
        <v>240</v>
      </c>
      <c r="G110" s="35" t="n">
        <v>18</v>
      </c>
      <c r="H110" s="35" t="n">
        <v>120</v>
      </c>
      <c r="I110" s="35" t="n">
        <v>40</v>
      </c>
      <c r="J110" s="1" t="n">
        <v>80</v>
      </c>
      <c r="K110" s="35" t="n">
        <v>244.9321</v>
      </c>
      <c r="L110" s="35" t="n">
        <f aca="false">ABS((J110-D110)/D110)</f>
        <v>0</v>
      </c>
      <c r="M110" s="36" t="n">
        <f aca="false">ABS((K110-F110)/F110)</f>
        <v>0.0205504166666666</v>
      </c>
    </row>
    <row r="111" customFormat="false" ht="15" hidden="false" customHeight="true" outlineLevel="0" collapsed="false">
      <c r="B111" s="106"/>
      <c r="C111" s="1" t="n">
        <v>3</v>
      </c>
      <c r="D111" s="34" t="n">
        <v>40</v>
      </c>
      <c r="E111" s="35" t="n">
        <v>3</v>
      </c>
      <c r="F111" s="35" t="n">
        <f aca="false">D111*E111</f>
        <v>120</v>
      </c>
      <c r="G111" s="35" t="n">
        <v>18</v>
      </c>
      <c r="H111" s="35" t="n">
        <v>120</v>
      </c>
      <c r="I111" s="35" t="n">
        <v>40</v>
      </c>
      <c r="J111" s="1" t="n">
        <v>39</v>
      </c>
      <c r="K111" s="35" t="n">
        <v>120.0784</v>
      </c>
      <c r="L111" s="35" t="n">
        <f aca="false">ABS((J111-D111)/D111)</f>
        <v>0.025</v>
      </c>
      <c r="M111" s="36" t="n">
        <f aca="false">ABS((K111-F111)/F111)</f>
        <v>0.00065333333333335</v>
      </c>
    </row>
    <row r="112" customFormat="false" ht="15" hidden="false" customHeight="true" outlineLevel="0" collapsed="false">
      <c r="B112" s="106"/>
      <c r="C112" s="1" t="n">
        <v>4</v>
      </c>
      <c r="D112" s="34" t="n">
        <v>40</v>
      </c>
      <c r="E112" s="35" t="n">
        <v>3</v>
      </c>
      <c r="F112" s="35" t="n">
        <f aca="false">D112*E112</f>
        <v>120</v>
      </c>
      <c r="G112" s="35" t="n">
        <v>18</v>
      </c>
      <c r="H112" s="35" t="n">
        <v>120</v>
      </c>
      <c r="I112" s="35" t="n">
        <v>40</v>
      </c>
      <c r="J112" s="1" t="n">
        <v>38</v>
      </c>
      <c r="K112" s="35" t="n">
        <v>128.0449</v>
      </c>
      <c r="L112" s="35" t="n">
        <f aca="false">ABS((J112-D112)/D112)</f>
        <v>0.05</v>
      </c>
      <c r="M112" s="36" t="n">
        <f aca="false">ABS((K112-F112)/F112)</f>
        <v>0.0670408333333334</v>
      </c>
    </row>
    <row r="113" customFormat="false" ht="15" hidden="false" customHeight="true" outlineLevel="0" collapsed="false">
      <c r="B113" s="106"/>
      <c r="C113" s="1" t="n">
        <v>5</v>
      </c>
      <c r="D113" s="34" t="n">
        <v>35</v>
      </c>
      <c r="E113" s="35" t="n">
        <v>3</v>
      </c>
      <c r="F113" s="35" t="n">
        <f aca="false">D113*E113</f>
        <v>105</v>
      </c>
      <c r="G113" s="35" t="n">
        <v>18</v>
      </c>
      <c r="H113" s="35" t="n">
        <v>120</v>
      </c>
      <c r="I113" s="35" t="n">
        <v>40</v>
      </c>
      <c r="J113" s="1" t="n">
        <v>33</v>
      </c>
      <c r="K113" s="35" t="n">
        <v>112.6533</v>
      </c>
      <c r="L113" s="35" t="n">
        <f aca="false">ABS((J113-D113)/D113)</f>
        <v>0.0571428571428571</v>
      </c>
      <c r="M113" s="36" t="n">
        <f aca="false">ABS((K113-F113)/F113)</f>
        <v>0.0728885714285714</v>
      </c>
    </row>
    <row r="114" customFormat="false" ht="15" hidden="false" customHeight="true" outlineLevel="0" collapsed="false">
      <c r="B114" s="106"/>
      <c r="C114" s="108" t="s">
        <v>101</v>
      </c>
      <c r="D114" s="109" t="n">
        <f aca="false">SUM(D109:D113)</f>
        <v>275</v>
      </c>
      <c r="E114" s="110" t="s">
        <v>102</v>
      </c>
      <c r="F114" s="110" t="n">
        <f aca="false">SUM(F109:F113)</f>
        <v>825</v>
      </c>
      <c r="G114" s="110" t="s">
        <v>102</v>
      </c>
      <c r="H114" s="110" t="s">
        <v>102</v>
      </c>
      <c r="I114" s="110" t="s">
        <v>102</v>
      </c>
      <c r="J114" s="109" t="n">
        <f aca="false">SUM(J109:J113)</f>
        <v>271</v>
      </c>
      <c r="K114" s="110" t="n">
        <f aca="false">SUM(K109:K113)</f>
        <v>855.3565</v>
      </c>
      <c r="L114" s="63"/>
      <c r="M114" s="64"/>
    </row>
    <row r="115" customFormat="false" ht="15" hidden="false" customHeight="true" outlineLevel="0" collapsed="false">
      <c r="B115" s="106" t="s">
        <v>41</v>
      </c>
      <c r="C115" s="107" t="n">
        <v>1</v>
      </c>
      <c r="D115" s="34" t="n">
        <v>40</v>
      </c>
      <c r="E115" s="35" t="n">
        <v>3</v>
      </c>
      <c r="F115" s="35" t="n">
        <f aca="false">D115*E115</f>
        <v>120</v>
      </c>
      <c r="G115" s="35" t="n">
        <v>18</v>
      </c>
      <c r="H115" s="35" t="n">
        <v>120</v>
      </c>
      <c r="I115" s="35" t="n">
        <v>40</v>
      </c>
      <c r="J115" s="1" t="n">
        <v>36</v>
      </c>
      <c r="K115" s="35" t="n">
        <v>108.9191</v>
      </c>
      <c r="L115" s="35" t="n">
        <f aca="false">ABS((J115-D115)/D115)</f>
        <v>0.1</v>
      </c>
      <c r="M115" s="36" t="n">
        <f aca="false">ABS((K115-F115)/F115)</f>
        <v>0.0923408333333333</v>
      </c>
    </row>
    <row r="116" customFormat="false" ht="15" hidden="false" customHeight="true" outlineLevel="0" collapsed="false">
      <c r="B116" s="106"/>
      <c r="C116" s="1" t="n">
        <v>2</v>
      </c>
      <c r="D116" s="34" t="n">
        <v>40</v>
      </c>
      <c r="E116" s="35" t="n">
        <v>3</v>
      </c>
      <c r="F116" s="35" t="n">
        <f aca="false">D116*E116</f>
        <v>120</v>
      </c>
      <c r="G116" s="35" t="n">
        <v>18</v>
      </c>
      <c r="H116" s="35" t="n">
        <v>120</v>
      </c>
      <c r="I116" s="35" t="n">
        <v>40</v>
      </c>
      <c r="J116" s="1" t="n">
        <v>40</v>
      </c>
      <c r="K116" s="35" t="n">
        <v>104.4049</v>
      </c>
      <c r="L116" s="35" t="n">
        <f aca="false">ABS((J116-D116)/D116)</f>
        <v>0</v>
      </c>
      <c r="M116" s="36" t="n">
        <f aca="false">ABS((K116-F116)/F116)</f>
        <v>0.129959166666667</v>
      </c>
    </row>
    <row r="117" customFormat="false" ht="15" hidden="false" customHeight="true" outlineLevel="0" collapsed="false">
      <c r="B117" s="106"/>
      <c r="C117" s="1" t="n">
        <v>3</v>
      </c>
      <c r="D117" s="34" t="n">
        <v>40</v>
      </c>
      <c r="E117" s="35" t="n">
        <v>3</v>
      </c>
      <c r="F117" s="35" t="n">
        <f aca="false">D117*E117</f>
        <v>120</v>
      </c>
      <c r="G117" s="35" t="n">
        <v>18</v>
      </c>
      <c r="H117" s="35" t="n">
        <v>120</v>
      </c>
      <c r="I117" s="35" t="n">
        <v>40</v>
      </c>
      <c r="J117" s="1" t="n">
        <v>40</v>
      </c>
      <c r="K117" s="35" t="n">
        <v>120.853</v>
      </c>
      <c r="L117" s="35" t="n">
        <f aca="false">ABS((J117-D117)/D117)</f>
        <v>0</v>
      </c>
      <c r="M117" s="36" t="n">
        <f aca="false">ABS((K117-F117)/F117)</f>
        <v>0.00710833333333329</v>
      </c>
    </row>
    <row r="118" customFormat="false" ht="15" hidden="false" customHeight="true" outlineLevel="0" collapsed="false">
      <c r="B118" s="106"/>
      <c r="C118" s="1" t="n">
        <v>4</v>
      </c>
      <c r="D118" s="34" t="n">
        <v>40</v>
      </c>
      <c r="E118" s="35" t="n">
        <v>3</v>
      </c>
      <c r="F118" s="35" t="n">
        <f aca="false">D118*E118</f>
        <v>120</v>
      </c>
      <c r="G118" s="35" t="n">
        <v>18</v>
      </c>
      <c r="H118" s="35" t="n">
        <v>120</v>
      </c>
      <c r="I118" s="35" t="n">
        <v>40</v>
      </c>
      <c r="J118" s="1" t="n">
        <v>40</v>
      </c>
      <c r="K118" s="35" t="n">
        <v>120.8495</v>
      </c>
      <c r="L118" s="35" t="n">
        <f aca="false">ABS((J118-D118)/D118)</f>
        <v>0</v>
      </c>
      <c r="M118" s="36" t="n">
        <f aca="false">ABS((K118-F118)/F118)</f>
        <v>0.00707916666666672</v>
      </c>
    </row>
    <row r="119" customFormat="false" ht="15" hidden="false" customHeight="true" outlineLevel="0" collapsed="false">
      <c r="B119" s="106"/>
      <c r="C119" s="1" t="n">
        <v>5</v>
      </c>
      <c r="D119" s="34" t="n">
        <v>40</v>
      </c>
      <c r="E119" s="35" t="n">
        <v>3</v>
      </c>
      <c r="F119" s="35" t="n">
        <f aca="false">D119*E119</f>
        <v>120</v>
      </c>
      <c r="G119" s="35" t="n">
        <v>18</v>
      </c>
      <c r="H119" s="35" t="n">
        <v>120</v>
      </c>
      <c r="I119" s="35" t="n">
        <v>40</v>
      </c>
      <c r="J119" s="1" t="n">
        <v>40</v>
      </c>
      <c r="K119" s="35" t="n">
        <v>120.6962</v>
      </c>
      <c r="L119" s="35" t="n">
        <f aca="false">ABS((J119-D119)/D119)</f>
        <v>0</v>
      </c>
      <c r="M119" s="36" t="n">
        <f aca="false">ABS((K119-F119)/F119)</f>
        <v>0.00580166666666671</v>
      </c>
    </row>
    <row r="120" customFormat="false" ht="15" hidden="false" customHeight="true" outlineLevel="0" collapsed="false">
      <c r="B120" s="106"/>
      <c r="C120" s="1" t="n">
        <v>6</v>
      </c>
      <c r="D120" s="34" t="n">
        <v>40</v>
      </c>
      <c r="E120" s="35" t="n">
        <v>3</v>
      </c>
      <c r="F120" s="35" t="n">
        <f aca="false">D120*E120</f>
        <v>120</v>
      </c>
      <c r="G120" s="35" t="n">
        <v>18</v>
      </c>
      <c r="H120" s="35" t="n">
        <v>120</v>
      </c>
      <c r="I120" s="35" t="n">
        <v>40</v>
      </c>
      <c r="J120" s="1" t="n">
        <v>40</v>
      </c>
      <c r="K120" s="35" t="n">
        <v>121.2251</v>
      </c>
      <c r="L120" s="35" t="n">
        <f aca="false">ABS((J120-D120)/D120)</f>
        <v>0</v>
      </c>
      <c r="M120" s="36" t="n">
        <f aca="false">ABS((K120-F120)/F120)</f>
        <v>0.0102091666666666</v>
      </c>
    </row>
    <row r="121" customFormat="false" ht="15" hidden="false" customHeight="true" outlineLevel="0" collapsed="false">
      <c r="B121" s="106"/>
      <c r="C121" s="1" t="n">
        <v>7</v>
      </c>
      <c r="D121" s="34" t="n">
        <v>40</v>
      </c>
      <c r="E121" s="35" t="n">
        <v>3</v>
      </c>
      <c r="F121" s="35" t="n">
        <f aca="false">D121*E121</f>
        <v>120</v>
      </c>
      <c r="G121" s="35" t="n">
        <v>18</v>
      </c>
      <c r="H121" s="35" t="n">
        <v>120</v>
      </c>
      <c r="I121" s="35" t="n">
        <v>40</v>
      </c>
      <c r="J121" s="1" t="n">
        <v>40</v>
      </c>
      <c r="K121" s="35" t="n">
        <v>120.5273</v>
      </c>
      <c r="L121" s="35" t="n">
        <f aca="false">ABS((J121-D121)/D121)</f>
        <v>0</v>
      </c>
      <c r="M121" s="36" t="n">
        <f aca="false">ABS((K121-F121)/F121)</f>
        <v>0.00439416666666664</v>
      </c>
    </row>
    <row r="122" customFormat="false" ht="15" hidden="false" customHeight="true" outlineLevel="0" collapsed="false">
      <c r="B122" s="106"/>
      <c r="C122" s="1" t="n">
        <v>8</v>
      </c>
      <c r="D122" s="34" t="n">
        <v>40</v>
      </c>
      <c r="E122" s="35" t="n">
        <v>3</v>
      </c>
      <c r="F122" s="35" t="n">
        <f aca="false">D122*E122</f>
        <v>120</v>
      </c>
      <c r="G122" s="35" t="n">
        <v>18</v>
      </c>
      <c r="H122" s="35" t="n">
        <v>120</v>
      </c>
      <c r="I122" s="35" t="n">
        <v>40</v>
      </c>
      <c r="J122" s="1" t="n">
        <v>40</v>
      </c>
      <c r="K122" s="35" t="n">
        <v>121.519</v>
      </c>
      <c r="L122" s="35" t="n">
        <f aca="false">ABS((J122-D122)/D122)</f>
        <v>0</v>
      </c>
      <c r="M122" s="36" t="n">
        <f aca="false">ABS((K122-F122)/F122)</f>
        <v>0.0126583333333334</v>
      </c>
    </row>
    <row r="123" customFormat="false" ht="15" hidden="false" customHeight="true" outlineLevel="0" collapsed="false">
      <c r="B123" s="106"/>
      <c r="C123" s="1" t="n">
        <v>9</v>
      </c>
      <c r="D123" s="34" t="n">
        <v>40</v>
      </c>
      <c r="E123" s="35" t="n">
        <v>3</v>
      </c>
      <c r="F123" s="35" t="n">
        <f aca="false">D123*E123</f>
        <v>120</v>
      </c>
      <c r="G123" s="35" t="n">
        <v>18</v>
      </c>
      <c r="H123" s="35" t="n">
        <v>120</v>
      </c>
      <c r="I123" s="35" t="n">
        <v>40</v>
      </c>
      <c r="J123" s="1" t="n">
        <v>41</v>
      </c>
      <c r="K123" s="35" t="n">
        <v>123.3435</v>
      </c>
      <c r="L123" s="35" t="n">
        <f aca="false">ABS((J123-D123)/D123)</f>
        <v>0.025</v>
      </c>
      <c r="M123" s="36" t="n">
        <f aca="false">ABS((K123-F123)/F123)</f>
        <v>0.0278625000000001</v>
      </c>
    </row>
    <row r="124" customFormat="false" ht="15" hidden="false" customHeight="true" outlineLevel="0" collapsed="false">
      <c r="B124" s="106"/>
      <c r="C124" s="108" t="s">
        <v>101</v>
      </c>
      <c r="D124" s="109" t="n">
        <f aca="false">SUM(D115:D123)</f>
        <v>360</v>
      </c>
      <c r="E124" s="110" t="s">
        <v>102</v>
      </c>
      <c r="F124" s="110" t="n">
        <f aca="false">SUM(F115:F123)</f>
        <v>1080</v>
      </c>
      <c r="G124" s="110" t="s">
        <v>102</v>
      </c>
      <c r="H124" s="110" t="s">
        <v>102</v>
      </c>
      <c r="I124" s="110" t="s">
        <v>102</v>
      </c>
      <c r="J124" s="109" t="n">
        <f aca="false">SUM(J115:J123)</f>
        <v>357</v>
      </c>
      <c r="K124" s="110" t="n">
        <f aca="false">SUM(K115:K123)</f>
        <v>1062.3376</v>
      </c>
      <c r="L124" s="63"/>
      <c r="M124" s="64"/>
    </row>
    <row r="125" customFormat="false" ht="15" hidden="false" customHeight="true" outlineLevel="0" collapsed="false">
      <c r="B125" s="106" t="s">
        <v>45</v>
      </c>
      <c r="C125" s="107" t="n">
        <v>1</v>
      </c>
      <c r="D125" s="34" t="n">
        <v>39</v>
      </c>
      <c r="E125" s="35" t="n">
        <v>3</v>
      </c>
      <c r="F125" s="35" t="n">
        <f aca="false">D125*E125</f>
        <v>117</v>
      </c>
      <c r="G125" s="35" t="n">
        <v>18</v>
      </c>
      <c r="H125" s="35" t="n">
        <v>120</v>
      </c>
      <c r="I125" s="35" t="n">
        <v>40</v>
      </c>
      <c r="J125" s="1" t="n">
        <v>30</v>
      </c>
      <c r="K125" s="35" t="n">
        <v>96.4425</v>
      </c>
      <c r="L125" s="35" t="n">
        <f aca="false">ABS((J125-D125)/D125)</f>
        <v>0.230769230769231</v>
      </c>
      <c r="M125" s="36" t="n">
        <f aca="false">ABS((K125-F125)/F125)</f>
        <v>0.175705128205128</v>
      </c>
    </row>
    <row r="126" customFormat="false" ht="15" hidden="false" customHeight="true" outlineLevel="0" collapsed="false">
      <c r="B126" s="106"/>
      <c r="C126" s="1" t="n">
        <v>2</v>
      </c>
      <c r="D126" s="34" t="n">
        <v>40</v>
      </c>
      <c r="E126" s="35" t="n">
        <v>3</v>
      </c>
      <c r="F126" s="35" t="n">
        <f aca="false">D126*E126</f>
        <v>120</v>
      </c>
      <c r="G126" s="35" t="n">
        <v>18</v>
      </c>
      <c r="H126" s="35" t="n">
        <v>120</v>
      </c>
      <c r="I126" s="35" t="n">
        <v>40</v>
      </c>
      <c r="J126" s="1" t="n">
        <v>14</v>
      </c>
      <c r="K126" s="35" t="n">
        <v>29.4417</v>
      </c>
      <c r="L126" s="35" t="n">
        <f aca="false">ABS((J126-D126)/D126)</f>
        <v>0.65</v>
      </c>
      <c r="M126" s="36" t="n">
        <f aca="false">ABS((K126-F126)/F126)</f>
        <v>0.7546525</v>
      </c>
    </row>
    <row r="127" customFormat="false" ht="15" hidden="false" customHeight="true" outlineLevel="0" collapsed="false">
      <c r="B127" s="106"/>
      <c r="C127" s="1" t="n">
        <v>3</v>
      </c>
      <c r="D127" s="34" t="n">
        <v>40</v>
      </c>
      <c r="E127" s="35" t="n">
        <v>3</v>
      </c>
      <c r="F127" s="35" t="n">
        <f aca="false">D127*E127</f>
        <v>120</v>
      </c>
      <c r="G127" s="35" t="n">
        <v>18</v>
      </c>
      <c r="H127" s="35" t="n">
        <v>120</v>
      </c>
      <c r="I127" s="35" t="n">
        <v>40</v>
      </c>
      <c r="J127" s="1" t="n">
        <v>41</v>
      </c>
      <c r="K127" s="35" t="n">
        <v>124.4651</v>
      </c>
      <c r="L127" s="35" t="n">
        <f aca="false">ABS((J127-D127)/D127)</f>
        <v>0.025</v>
      </c>
      <c r="M127" s="36" t="n">
        <f aca="false">ABS((K127-F127)/F127)</f>
        <v>0.0372091666666667</v>
      </c>
    </row>
    <row r="128" customFormat="false" ht="15" hidden="false" customHeight="true" outlineLevel="0" collapsed="false">
      <c r="B128" s="106"/>
      <c r="C128" s="1" t="n">
        <v>4</v>
      </c>
      <c r="D128" s="34" t="n">
        <v>40</v>
      </c>
      <c r="E128" s="35" t="n">
        <v>3</v>
      </c>
      <c r="F128" s="35" t="n">
        <f aca="false">D128*E128</f>
        <v>120</v>
      </c>
      <c r="G128" s="35" t="n">
        <v>18</v>
      </c>
      <c r="H128" s="35" t="n">
        <v>120</v>
      </c>
      <c r="I128" s="35" t="n">
        <v>40</v>
      </c>
      <c r="J128" s="1" t="n">
        <v>36</v>
      </c>
      <c r="K128" s="35" t="n">
        <v>113.2754</v>
      </c>
      <c r="L128" s="35" t="n">
        <f aca="false">ABS((J128-D128)/D128)</f>
        <v>0.1</v>
      </c>
      <c r="M128" s="36" t="n">
        <f aca="false">ABS((K128-F128)/F128)</f>
        <v>0.0560383333333333</v>
      </c>
    </row>
    <row r="129" customFormat="false" ht="15" hidden="false" customHeight="true" outlineLevel="0" collapsed="false">
      <c r="B129" s="106"/>
      <c r="C129" s="1" t="n">
        <v>5</v>
      </c>
      <c r="D129" s="34" t="n">
        <v>40</v>
      </c>
      <c r="E129" s="35" t="n">
        <v>3</v>
      </c>
      <c r="F129" s="35" t="n">
        <f aca="false">D129*E129</f>
        <v>120</v>
      </c>
      <c r="G129" s="35" t="n">
        <v>18</v>
      </c>
      <c r="H129" s="35" t="n">
        <v>120</v>
      </c>
      <c r="I129" s="35" t="n">
        <v>40</v>
      </c>
      <c r="J129" s="1" t="n">
        <v>41</v>
      </c>
      <c r="K129" s="35" t="n">
        <v>132.7363</v>
      </c>
      <c r="L129" s="35" t="n">
        <f aca="false">ABS((J129-D129)/D129)</f>
        <v>0.025</v>
      </c>
      <c r="M129" s="36" t="n">
        <f aca="false">ABS((K129-F129)/F129)</f>
        <v>0.106135833333333</v>
      </c>
    </row>
    <row r="130" customFormat="false" ht="15" hidden="false" customHeight="true" outlineLevel="0" collapsed="false">
      <c r="B130" s="106"/>
      <c r="C130" s="1" t="n">
        <v>6</v>
      </c>
      <c r="D130" s="34" t="n">
        <v>160</v>
      </c>
      <c r="E130" s="35" t="n">
        <v>3</v>
      </c>
      <c r="F130" s="35" t="n">
        <f aca="false">D130*E130</f>
        <v>480</v>
      </c>
      <c r="G130" s="35" t="n">
        <v>18</v>
      </c>
      <c r="H130" s="35" t="n">
        <v>120</v>
      </c>
      <c r="I130" s="35" t="n">
        <v>40</v>
      </c>
      <c r="J130" s="1" t="n">
        <v>159</v>
      </c>
      <c r="K130" s="35" t="n">
        <v>512.8645</v>
      </c>
      <c r="L130" s="35" t="n">
        <f aca="false">ABS((J130-D130)/D130)</f>
        <v>0.00625</v>
      </c>
      <c r="M130" s="36" t="n">
        <f aca="false">ABS((K130-F130)/F130)</f>
        <v>0.0684677083333334</v>
      </c>
    </row>
    <row r="131" customFormat="false" ht="15" hidden="false" customHeight="true" outlineLevel="0" collapsed="false">
      <c r="B131" s="106"/>
      <c r="C131" s="1" t="n">
        <v>7</v>
      </c>
      <c r="D131" s="34" t="n">
        <v>40</v>
      </c>
      <c r="E131" s="35" t="n">
        <v>3</v>
      </c>
      <c r="F131" s="35" t="n">
        <f aca="false">D131*E131</f>
        <v>120</v>
      </c>
      <c r="G131" s="35" t="n">
        <v>18</v>
      </c>
      <c r="H131" s="35" t="n">
        <v>120</v>
      </c>
      <c r="I131" s="35" t="n">
        <v>40</v>
      </c>
      <c r="J131" s="1" t="n">
        <v>34</v>
      </c>
      <c r="K131" s="35" t="n">
        <v>99.7351</v>
      </c>
      <c r="L131" s="35" t="n">
        <f aca="false">ABS((J131-D131)/D131)</f>
        <v>0.15</v>
      </c>
      <c r="M131" s="36" t="n">
        <f aca="false">ABS((K131-F131)/F131)</f>
        <v>0.168874166666667</v>
      </c>
    </row>
    <row r="132" customFormat="false" ht="15" hidden="false" customHeight="true" outlineLevel="0" collapsed="false">
      <c r="B132" s="106"/>
      <c r="C132" s="1" t="n">
        <v>8</v>
      </c>
      <c r="D132" s="34" t="n">
        <v>200</v>
      </c>
      <c r="E132" s="35" t="n">
        <v>3</v>
      </c>
      <c r="F132" s="35" t="n">
        <f aca="false">D132*E132</f>
        <v>600</v>
      </c>
      <c r="G132" s="35" t="n">
        <v>18</v>
      </c>
      <c r="H132" s="35" t="n">
        <v>120</v>
      </c>
      <c r="I132" s="35" t="n">
        <v>40</v>
      </c>
      <c r="J132" s="1" t="n">
        <v>200</v>
      </c>
      <c r="K132" s="35" t="n">
        <v>638.1393</v>
      </c>
      <c r="L132" s="35" t="n">
        <f aca="false">ABS((J132-D132)/D132)</f>
        <v>0</v>
      </c>
      <c r="M132" s="36" t="n">
        <f aca="false">ABS((K132-F132)/F132)</f>
        <v>0.0635655000000001</v>
      </c>
    </row>
    <row r="133" customFormat="false" ht="15" hidden="false" customHeight="true" outlineLevel="0" collapsed="false">
      <c r="B133" s="106"/>
      <c r="C133" s="1" t="n">
        <v>9</v>
      </c>
      <c r="D133" s="34" t="n">
        <v>200</v>
      </c>
      <c r="E133" s="35" t="n">
        <v>3</v>
      </c>
      <c r="F133" s="35" t="n">
        <f aca="false">D133*E133</f>
        <v>600</v>
      </c>
      <c r="G133" s="35" t="n">
        <v>18</v>
      </c>
      <c r="H133" s="35" t="n">
        <v>120</v>
      </c>
      <c r="I133" s="35" t="n">
        <v>40</v>
      </c>
      <c r="J133" s="1" t="n">
        <v>207</v>
      </c>
      <c r="K133" s="35" t="n">
        <v>654.0942</v>
      </c>
      <c r="L133" s="35" t="n">
        <f aca="false">ABS((J133-D133)/D133)</f>
        <v>0.035</v>
      </c>
      <c r="M133" s="36" t="n">
        <f aca="false">ABS((K133-F133)/F133)</f>
        <v>0.090157</v>
      </c>
    </row>
    <row r="134" customFormat="false" ht="15" hidden="false" customHeight="true" outlineLevel="0" collapsed="false">
      <c r="B134" s="106"/>
      <c r="C134" s="1" t="n">
        <v>10</v>
      </c>
      <c r="D134" s="34" t="n">
        <v>190</v>
      </c>
      <c r="E134" s="35" t="n">
        <v>3</v>
      </c>
      <c r="F134" s="35" t="n">
        <f aca="false">D134*E134</f>
        <v>570</v>
      </c>
      <c r="G134" s="35" t="n">
        <v>18</v>
      </c>
      <c r="H134" s="35" t="n">
        <v>120</v>
      </c>
      <c r="I134" s="35" t="n">
        <v>40</v>
      </c>
      <c r="J134" s="1" t="n">
        <v>191</v>
      </c>
      <c r="K134" s="35" t="n">
        <v>610.5276</v>
      </c>
      <c r="L134" s="35" t="n">
        <f aca="false">ABS((J134-D134)/D134)</f>
        <v>0.00526315789473684</v>
      </c>
      <c r="M134" s="36" t="n">
        <f aca="false">ABS((K134-F134)/F134)</f>
        <v>0.071101052631579</v>
      </c>
    </row>
    <row r="135" customFormat="false" ht="15" hidden="false" customHeight="true" outlineLevel="0" collapsed="false">
      <c r="B135" s="106"/>
      <c r="C135" s="1" t="n">
        <v>11</v>
      </c>
      <c r="D135" s="34" t="n">
        <v>60</v>
      </c>
      <c r="E135" s="35" t="n">
        <v>3</v>
      </c>
      <c r="F135" s="35" t="n">
        <f aca="false">D135*E135</f>
        <v>180</v>
      </c>
      <c r="G135" s="35" t="n">
        <v>18</v>
      </c>
      <c r="H135" s="35" t="n">
        <v>120</v>
      </c>
      <c r="I135" s="35" t="n">
        <v>40</v>
      </c>
      <c r="J135" s="1" t="n">
        <v>60</v>
      </c>
      <c r="K135" s="35" t="n">
        <v>199.1225</v>
      </c>
      <c r="L135" s="35" t="n">
        <f aca="false">ABS((J135-D135)/D135)</f>
        <v>0</v>
      </c>
      <c r="M135" s="36" t="n">
        <f aca="false">ABS((K135-F135)/F135)</f>
        <v>0.106236111111111</v>
      </c>
    </row>
    <row r="136" customFormat="false" ht="15" hidden="false" customHeight="true" outlineLevel="0" collapsed="false">
      <c r="B136" s="106"/>
      <c r="C136" s="108" t="s">
        <v>101</v>
      </c>
      <c r="D136" s="109" t="n">
        <f aca="false">SUM(D125:D135)</f>
        <v>1049</v>
      </c>
      <c r="E136" s="110" t="s">
        <v>102</v>
      </c>
      <c r="F136" s="110" t="n">
        <f aca="false">SUM(F125:F135)</f>
        <v>3147</v>
      </c>
      <c r="G136" s="110" t="s">
        <v>102</v>
      </c>
      <c r="H136" s="110" t="s">
        <v>102</v>
      </c>
      <c r="I136" s="110" t="s">
        <v>102</v>
      </c>
      <c r="J136" s="109" t="n">
        <f aca="false">SUM(J125:J135)</f>
        <v>1013</v>
      </c>
      <c r="K136" s="110" t="n">
        <f aca="false">SUM(K125:K135)</f>
        <v>3210.8442</v>
      </c>
      <c r="L136" s="63"/>
      <c r="M136" s="64"/>
    </row>
    <row r="137" customFormat="false" ht="15" hidden="false" customHeight="true" outlineLevel="0" collapsed="false">
      <c r="B137" s="106" t="s">
        <v>46</v>
      </c>
      <c r="C137" s="107" t="n">
        <v>1</v>
      </c>
      <c r="D137" s="34" t="n">
        <v>40</v>
      </c>
      <c r="E137" s="35" t="n">
        <v>3</v>
      </c>
      <c r="F137" s="35" t="n">
        <f aca="false">D137*E137</f>
        <v>120</v>
      </c>
      <c r="G137" s="35" t="n">
        <v>18</v>
      </c>
      <c r="H137" s="35" t="n">
        <v>120</v>
      </c>
      <c r="I137" s="35" t="n">
        <v>40</v>
      </c>
      <c r="J137" s="1" t="n">
        <v>40</v>
      </c>
      <c r="K137" s="35" t="n">
        <v>128.8517</v>
      </c>
      <c r="L137" s="35" t="n">
        <f aca="false">ABS((J137-D137)/D137)</f>
        <v>0</v>
      </c>
      <c r="M137" s="36" t="n">
        <f aca="false">ABS((K137-F137)/F137)</f>
        <v>0.0737641666666666</v>
      </c>
    </row>
    <row r="138" customFormat="false" ht="15" hidden="false" customHeight="true" outlineLevel="0" collapsed="false">
      <c r="B138" s="106"/>
      <c r="C138" s="1" t="n">
        <v>2</v>
      </c>
      <c r="D138" s="34" t="n">
        <v>40</v>
      </c>
      <c r="E138" s="35" t="n">
        <v>3</v>
      </c>
      <c r="F138" s="35" t="n">
        <f aca="false">D138*E138</f>
        <v>120</v>
      </c>
      <c r="G138" s="35" t="n">
        <v>18</v>
      </c>
      <c r="H138" s="35" t="n">
        <v>120</v>
      </c>
      <c r="I138" s="35" t="n">
        <v>40</v>
      </c>
      <c r="J138" s="1" t="n">
        <v>40</v>
      </c>
      <c r="K138" s="35" t="n">
        <v>131.687</v>
      </c>
      <c r="L138" s="35" t="n">
        <f aca="false">ABS((J138-D138)/D138)</f>
        <v>0</v>
      </c>
      <c r="M138" s="36" t="n">
        <f aca="false">ABS((K138-F138)/F138)</f>
        <v>0.0973916666666668</v>
      </c>
    </row>
    <row r="139" customFormat="false" ht="15" hidden="false" customHeight="true" outlineLevel="0" collapsed="false">
      <c r="B139" s="106"/>
      <c r="C139" s="1" t="n">
        <v>3</v>
      </c>
      <c r="D139" s="34" t="n">
        <v>40</v>
      </c>
      <c r="E139" s="35" t="n">
        <v>3</v>
      </c>
      <c r="F139" s="35" t="n">
        <f aca="false">D139*E139</f>
        <v>120</v>
      </c>
      <c r="G139" s="35" t="n">
        <v>18</v>
      </c>
      <c r="H139" s="35" t="n">
        <v>120</v>
      </c>
      <c r="I139" s="35" t="n">
        <v>40</v>
      </c>
      <c r="J139" s="1" t="n">
        <v>40</v>
      </c>
      <c r="K139" s="35" t="n">
        <v>129.8516</v>
      </c>
      <c r="L139" s="35" t="n">
        <f aca="false">ABS((J139-D139)/D139)</f>
        <v>0</v>
      </c>
      <c r="M139" s="36" t="n">
        <f aca="false">ABS((K139-F139)/F139)</f>
        <v>0.0820966666666666</v>
      </c>
    </row>
    <row r="140" customFormat="false" ht="15" hidden="false" customHeight="true" outlineLevel="0" collapsed="false">
      <c r="B140" s="106"/>
      <c r="C140" s="1" t="n">
        <v>4</v>
      </c>
      <c r="D140" s="34" t="n">
        <v>40</v>
      </c>
      <c r="E140" s="35" t="n">
        <v>3</v>
      </c>
      <c r="F140" s="35" t="n">
        <f aca="false">D140*E140</f>
        <v>120</v>
      </c>
      <c r="G140" s="35" t="n">
        <v>18</v>
      </c>
      <c r="H140" s="35" t="n">
        <v>120</v>
      </c>
      <c r="I140" s="35" t="n">
        <v>40</v>
      </c>
      <c r="J140" s="1" t="n">
        <v>40</v>
      </c>
      <c r="K140" s="35" t="n">
        <v>130.7159</v>
      </c>
      <c r="L140" s="35" t="n">
        <f aca="false">ABS((J140-D140)/D140)</f>
        <v>0</v>
      </c>
      <c r="M140" s="36" t="n">
        <f aca="false">ABS((K140-F140)/F140)</f>
        <v>0.0892991666666667</v>
      </c>
    </row>
    <row r="141" customFormat="false" ht="15" hidden="false" customHeight="true" outlineLevel="0" collapsed="false">
      <c r="B141" s="106"/>
      <c r="C141" s="1" t="n">
        <v>5</v>
      </c>
      <c r="D141" s="34" t="n">
        <v>40</v>
      </c>
      <c r="E141" s="35" t="n">
        <v>3</v>
      </c>
      <c r="F141" s="35" t="n">
        <f aca="false">D141*E141</f>
        <v>120</v>
      </c>
      <c r="G141" s="35" t="n">
        <v>18</v>
      </c>
      <c r="H141" s="35" t="n">
        <v>120</v>
      </c>
      <c r="I141" s="35" t="n">
        <v>40</v>
      </c>
      <c r="J141" s="1" t="n">
        <v>40</v>
      </c>
      <c r="K141" s="35" t="n">
        <v>132.1853</v>
      </c>
      <c r="L141" s="35" t="n">
        <f aca="false">ABS((J141-D141)/D141)</f>
        <v>0</v>
      </c>
      <c r="M141" s="36" t="n">
        <f aca="false">ABS((K141-F141)/F141)</f>
        <v>0.101544166666667</v>
      </c>
    </row>
    <row r="142" customFormat="false" ht="15" hidden="false" customHeight="true" outlineLevel="0" collapsed="false">
      <c r="B142" s="106"/>
      <c r="C142" s="1" t="n">
        <v>6</v>
      </c>
      <c r="D142" s="34" t="n">
        <v>40</v>
      </c>
      <c r="E142" s="35" t="n">
        <v>3</v>
      </c>
      <c r="F142" s="35" t="n">
        <f aca="false">D142*E142</f>
        <v>120</v>
      </c>
      <c r="G142" s="35" t="n">
        <v>18</v>
      </c>
      <c r="H142" s="35" t="n">
        <v>120</v>
      </c>
      <c r="I142" s="35" t="n">
        <v>40</v>
      </c>
      <c r="J142" s="1" t="n">
        <v>40</v>
      </c>
      <c r="K142" s="35" t="n">
        <v>131.5598</v>
      </c>
      <c r="L142" s="35" t="n">
        <f aca="false">ABS((J142-D142)/D142)</f>
        <v>0</v>
      </c>
      <c r="M142" s="36" t="n">
        <f aca="false">ABS((K142-F142)/F142)</f>
        <v>0.0963316666666666</v>
      </c>
    </row>
    <row r="143" customFormat="false" ht="15" hidden="false" customHeight="true" outlineLevel="0" collapsed="false">
      <c r="B143" s="106"/>
      <c r="C143" s="1" t="n">
        <v>7</v>
      </c>
      <c r="D143" s="34" t="n">
        <v>40</v>
      </c>
      <c r="E143" s="35" t="n">
        <v>3</v>
      </c>
      <c r="F143" s="35" t="n">
        <f aca="false">D143*E143</f>
        <v>120</v>
      </c>
      <c r="G143" s="35" t="n">
        <v>18</v>
      </c>
      <c r="H143" s="35" t="n">
        <v>120</v>
      </c>
      <c r="I143" s="35" t="n">
        <v>40</v>
      </c>
      <c r="J143" s="1" t="n">
        <v>40</v>
      </c>
      <c r="K143" s="35" t="n">
        <v>129.3144</v>
      </c>
      <c r="L143" s="35" t="n">
        <f aca="false">ABS((J143-D143)/D143)</f>
        <v>0</v>
      </c>
      <c r="M143" s="36" t="n">
        <f aca="false">ABS((K143-F143)/F143)</f>
        <v>0.0776200000000001</v>
      </c>
    </row>
    <row r="144" customFormat="false" ht="15" hidden="false" customHeight="true" outlineLevel="0" collapsed="false">
      <c r="B144" s="106"/>
      <c r="C144" s="1" t="n">
        <v>8</v>
      </c>
      <c r="D144" s="34" t="n">
        <v>40</v>
      </c>
      <c r="E144" s="35" t="n">
        <v>3</v>
      </c>
      <c r="F144" s="35" t="n">
        <f aca="false">D144*E144</f>
        <v>120</v>
      </c>
      <c r="G144" s="35" t="n">
        <v>18</v>
      </c>
      <c r="H144" s="35" t="n">
        <v>120</v>
      </c>
      <c r="I144" s="35" t="n">
        <v>40</v>
      </c>
      <c r="J144" s="1" t="n">
        <v>40</v>
      </c>
      <c r="K144" s="35" t="n">
        <v>122.0562</v>
      </c>
      <c r="L144" s="35" t="n">
        <f aca="false">ABS((J144-D144)/D144)</f>
        <v>0</v>
      </c>
      <c r="M144" s="36" t="n">
        <f aca="false">ABS((K144-F144)/F144)</f>
        <v>0.017135</v>
      </c>
    </row>
    <row r="145" customFormat="false" ht="15" hidden="false" customHeight="true" outlineLevel="0" collapsed="false">
      <c r="B145" s="106"/>
      <c r="C145" s="1" t="n">
        <v>9</v>
      </c>
      <c r="D145" s="34" t="n">
        <v>40</v>
      </c>
      <c r="E145" s="35" t="n">
        <v>3</v>
      </c>
      <c r="F145" s="35" t="n">
        <f aca="false">D145*E145</f>
        <v>120</v>
      </c>
      <c r="G145" s="35" t="n">
        <v>18</v>
      </c>
      <c r="H145" s="35" t="n">
        <v>120</v>
      </c>
      <c r="I145" s="35" t="n">
        <v>40</v>
      </c>
      <c r="J145" s="1" t="n">
        <v>41</v>
      </c>
      <c r="K145" s="35" t="n">
        <v>131.4685</v>
      </c>
      <c r="L145" s="35" t="n">
        <f aca="false">ABS((J145-D145)/D145)</f>
        <v>0.025</v>
      </c>
      <c r="M145" s="36" t="n">
        <f aca="false">ABS((K145-F145)/F145)</f>
        <v>0.0955708333333334</v>
      </c>
    </row>
    <row r="146" customFormat="false" ht="15" hidden="false" customHeight="true" outlineLevel="0" collapsed="false">
      <c r="B146" s="106"/>
      <c r="C146" s="29" t="n">
        <v>10</v>
      </c>
      <c r="D146" s="34" t="n">
        <v>40</v>
      </c>
      <c r="E146" s="35" t="n">
        <v>3</v>
      </c>
      <c r="F146" s="35" t="n">
        <f aca="false">D146*E146</f>
        <v>120</v>
      </c>
      <c r="G146" s="35" t="n">
        <v>18</v>
      </c>
      <c r="H146" s="35" t="n">
        <v>120</v>
      </c>
      <c r="I146" s="35" t="n">
        <v>40</v>
      </c>
      <c r="J146" s="1" t="n">
        <v>40</v>
      </c>
      <c r="K146" s="35" t="n">
        <v>129.9673</v>
      </c>
      <c r="L146" s="35" t="n">
        <f aca="false">ABS((J146-D146)/D146)</f>
        <v>0</v>
      </c>
      <c r="M146" s="36" t="n">
        <f aca="false">ABS((K146-F146)/F146)</f>
        <v>0.0830608333333333</v>
      </c>
    </row>
    <row r="147" customFormat="false" ht="15" hidden="false" customHeight="true" outlineLevel="0" collapsed="false">
      <c r="B147" s="106"/>
      <c r="C147" s="1" t="n">
        <v>11</v>
      </c>
      <c r="D147" s="34" t="n">
        <v>40</v>
      </c>
      <c r="E147" s="35" t="n">
        <v>3</v>
      </c>
      <c r="F147" s="35" t="n">
        <f aca="false">D147*E147</f>
        <v>120</v>
      </c>
      <c r="G147" s="35" t="n">
        <v>18</v>
      </c>
      <c r="H147" s="35" t="n">
        <v>120</v>
      </c>
      <c r="I147" s="35" t="n">
        <v>40</v>
      </c>
      <c r="J147" s="1" t="n">
        <v>40</v>
      </c>
      <c r="K147" s="35" t="n">
        <v>130.2103</v>
      </c>
      <c r="L147" s="35" t="n">
        <f aca="false">ABS((J147-D147)/D147)</f>
        <v>0</v>
      </c>
      <c r="M147" s="36" t="n">
        <f aca="false">ABS((K147-F147)/F147)</f>
        <v>0.0850858333333333</v>
      </c>
    </row>
    <row r="148" customFormat="false" ht="15" hidden="false" customHeight="true" outlineLevel="0" collapsed="false">
      <c r="B148" s="106"/>
      <c r="C148" s="1" t="n">
        <v>12</v>
      </c>
      <c r="D148" s="34" t="n">
        <v>40</v>
      </c>
      <c r="E148" s="35" t="n">
        <v>3</v>
      </c>
      <c r="F148" s="35" t="n">
        <f aca="false">D148*E148</f>
        <v>120</v>
      </c>
      <c r="G148" s="35" t="n">
        <v>18</v>
      </c>
      <c r="H148" s="35" t="n">
        <v>120</v>
      </c>
      <c r="I148" s="35" t="n">
        <v>40</v>
      </c>
      <c r="J148" s="1" t="n">
        <v>40</v>
      </c>
      <c r="K148" s="35" t="n">
        <v>129.744</v>
      </c>
      <c r="L148" s="35" t="n">
        <f aca="false">ABS((J148-D148)/D148)</f>
        <v>0</v>
      </c>
      <c r="M148" s="36" t="n">
        <f aca="false">ABS((K148-F148)/F148)</f>
        <v>0.0812</v>
      </c>
    </row>
    <row r="149" customFormat="false" ht="15" hidden="false" customHeight="true" outlineLevel="0" collapsed="false">
      <c r="B149" s="106"/>
      <c r="C149" s="1" t="n">
        <v>13</v>
      </c>
      <c r="D149" s="34" t="n">
        <v>40</v>
      </c>
      <c r="E149" s="35" t="n">
        <v>3</v>
      </c>
      <c r="F149" s="35" t="n">
        <f aca="false">D149*E149</f>
        <v>120</v>
      </c>
      <c r="G149" s="35" t="n">
        <v>18</v>
      </c>
      <c r="H149" s="35" t="n">
        <v>120</v>
      </c>
      <c r="I149" s="35" t="n">
        <v>40</v>
      </c>
      <c r="J149" s="1" t="n">
        <v>40</v>
      </c>
      <c r="K149" s="35" t="n">
        <v>131.1165</v>
      </c>
      <c r="L149" s="35" t="n">
        <f aca="false">ABS((J149-D149)/D149)</f>
        <v>0</v>
      </c>
      <c r="M149" s="36" t="n">
        <f aca="false">ABS((K149-F149)/F149)</f>
        <v>0.0926375</v>
      </c>
    </row>
    <row r="150" customFormat="false" ht="15" hidden="false" customHeight="true" outlineLevel="0" collapsed="false">
      <c r="B150" s="106"/>
      <c r="C150" s="1" t="n">
        <v>14</v>
      </c>
      <c r="D150" s="34" t="n">
        <v>40</v>
      </c>
      <c r="E150" s="35" t="n">
        <v>3</v>
      </c>
      <c r="F150" s="35" t="n">
        <f aca="false">D150*E150</f>
        <v>120</v>
      </c>
      <c r="G150" s="35" t="n">
        <v>18</v>
      </c>
      <c r="H150" s="35" t="n">
        <v>120</v>
      </c>
      <c r="I150" s="35" t="n">
        <v>40</v>
      </c>
      <c r="J150" s="1" t="n">
        <v>40</v>
      </c>
      <c r="K150" s="35" t="n">
        <v>124.9706</v>
      </c>
      <c r="L150" s="35" t="n">
        <f aca="false">ABS((J150-D150)/D150)</f>
        <v>0</v>
      </c>
      <c r="M150" s="36" t="n">
        <f aca="false">ABS((K150-F150)/F150)</f>
        <v>0.0414216666666667</v>
      </c>
    </row>
    <row r="151" customFormat="false" ht="15" hidden="false" customHeight="true" outlineLevel="0" collapsed="false">
      <c r="B151" s="106"/>
      <c r="C151" s="1" t="n">
        <v>15</v>
      </c>
      <c r="D151" s="34" t="n">
        <v>40</v>
      </c>
      <c r="E151" s="35" t="n">
        <v>3</v>
      </c>
      <c r="F151" s="35" t="n">
        <f aca="false">D151*E151</f>
        <v>120</v>
      </c>
      <c r="G151" s="35" t="n">
        <v>18</v>
      </c>
      <c r="H151" s="35" t="n">
        <v>120</v>
      </c>
      <c r="I151" s="35" t="n">
        <v>40</v>
      </c>
      <c r="J151" s="1" t="n">
        <v>40</v>
      </c>
      <c r="K151" s="35" t="n">
        <v>131.394</v>
      </c>
      <c r="L151" s="35" t="n">
        <f aca="false">ABS((J151-D151)/D151)</f>
        <v>0</v>
      </c>
      <c r="M151" s="36" t="n">
        <f aca="false">ABS((K151-F151)/F151)</f>
        <v>0.0949500000000001</v>
      </c>
    </row>
    <row r="152" customFormat="false" ht="15" hidden="false" customHeight="true" outlineLevel="0" collapsed="false">
      <c r="B152" s="106"/>
      <c r="C152" s="1" t="n">
        <v>16</v>
      </c>
      <c r="D152" s="34" t="n">
        <v>40</v>
      </c>
      <c r="E152" s="35" t="n">
        <v>3</v>
      </c>
      <c r="F152" s="35" t="n">
        <f aca="false">D152*E152</f>
        <v>120</v>
      </c>
      <c r="G152" s="35" t="n">
        <v>18</v>
      </c>
      <c r="H152" s="35" t="n">
        <v>120</v>
      </c>
      <c r="I152" s="35" t="n">
        <v>40</v>
      </c>
      <c r="J152" s="1" t="n">
        <v>40</v>
      </c>
      <c r="K152" s="35" t="n">
        <v>131.0166</v>
      </c>
      <c r="L152" s="35" t="n">
        <f aca="false">ABS((J152-D152)/D152)</f>
        <v>0</v>
      </c>
      <c r="M152" s="36" t="n">
        <f aca="false">ABS((K152-F152)/F152)</f>
        <v>0.0918050000000001</v>
      </c>
    </row>
    <row r="153" customFormat="false" ht="15" hidden="false" customHeight="true" outlineLevel="0" collapsed="false">
      <c r="B153" s="106"/>
      <c r="C153" s="1" t="n">
        <v>17</v>
      </c>
      <c r="D153" s="34" t="n">
        <v>40</v>
      </c>
      <c r="E153" s="35" t="n">
        <v>3</v>
      </c>
      <c r="F153" s="35" t="n">
        <f aca="false">D153*E153</f>
        <v>120</v>
      </c>
      <c r="G153" s="35" t="n">
        <v>18</v>
      </c>
      <c r="H153" s="35" t="n">
        <v>120</v>
      </c>
      <c r="I153" s="35" t="n">
        <v>40</v>
      </c>
      <c r="J153" s="1" t="n">
        <v>41</v>
      </c>
      <c r="K153" s="35" t="n">
        <v>132.8421</v>
      </c>
      <c r="L153" s="35" t="n">
        <f aca="false">ABS((J153-D153)/D153)</f>
        <v>0.025</v>
      </c>
      <c r="M153" s="36" t="n">
        <f aca="false">ABS((K153-F153)/F153)</f>
        <v>0.1070175</v>
      </c>
    </row>
    <row r="154" customFormat="false" ht="15" hidden="false" customHeight="true" outlineLevel="0" collapsed="false">
      <c r="B154" s="106"/>
      <c r="C154" s="1" t="n">
        <v>18</v>
      </c>
      <c r="D154" s="34" t="n">
        <v>40</v>
      </c>
      <c r="E154" s="35" t="n">
        <v>3</v>
      </c>
      <c r="F154" s="35" t="n">
        <f aca="false">D154*E154</f>
        <v>120</v>
      </c>
      <c r="G154" s="35" t="n">
        <v>18</v>
      </c>
      <c r="H154" s="35" t="n">
        <v>120</v>
      </c>
      <c r="I154" s="35" t="n">
        <v>40</v>
      </c>
      <c r="J154" s="1" t="n">
        <v>42</v>
      </c>
      <c r="K154" s="35" t="n">
        <v>133.2645</v>
      </c>
      <c r="L154" s="35" t="n">
        <f aca="false">ABS((J154-D154)/D154)</f>
        <v>0.05</v>
      </c>
      <c r="M154" s="36" t="n">
        <f aca="false">ABS((K154-F154)/F154)</f>
        <v>0.1105375</v>
      </c>
    </row>
    <row r="155" customFormat="false" ht="15" hidden="false" customHeight="true" outlineLevel="0" collapsed="false">
      <c r="B155" s="106"/>
      <c r="C155" s="1" t="n">
        <v>19</v>
      </c>
      <c r="D155" s="34" t="n">
        <v>40</v>
      </c>
      <c r="E155" s="35" t="n">
        <v>3</v>
      </c>
      <c r="F155" s="35" t="n">
        <f aca="false">D155*E155</f>
        <v>120</v>
      </c>
      <c r="G155" s="35" t="n">
        <v>18</v>
      </c>
      <c r="H155" s="35" t="n">
        <v>120</v>
      </c>
      <c r="I155" s="35" t="n">
        <v>40</v>
      </c>
      <c r="J155" s="1" t="n">
        <v>39</v>
      </c>
      <c r="K155" s="35" t="n">
        <v>127.5121</v>
      </c>
      <c r="L155" s="35" t="n">
        <f aca="false">ABS((J155-D155)/D155)</f>
        <v>0.025</v>
      </c>
      <c r="M155" s="36" t="n">
        <f aca="false">ABS((K155-F155)/F155)</f>
        <v>0.0626008333333334</v>
      </c>
    </row>
    <row r="156" customFormat="false" ht="15" hidden="false" customHeight="true" outlineLevel="0" collapsed="false">
      <c r="B156" s="106"/>
      <c r="C156" s="1" t="n">
        <v>20</v>
      </c>
      <c r="D156" s="34" t="n">
        <v>40</v>
      </c>
      <c r="E156" s="35" t="n">
        <v>3</v>
      </c>
      <c r="F156" s="35" t="n">
        <f aca="false">D156*E156</f>
        <v>120</v>
      </c>
      <c r="G156" s="35" t="n">
        <v>18</v>
      </c>
      <c r="H156" s="35" t="n">
        <v>120</v>
      </c>
      <c r="I156" s="35" t="n">
        <v>40</v>
      </c>
      <c r="J156" s="1" t="n">
        <v>40</v>
      </c>
      <c r="K156" s="35" t="n">
        <v>129.6283</v>
      </c>
      <c r="L156" s="35" t="n">
        <f aca="false">ABS((J156-D156)/D156)</f>
        <v>0</v>
      </c>
      <c r="M156" s="36" t="n">
        <f aca="false">ABS((K156-F156)/F156)</f>
        <v>0.0802358333333333</v>
      </c>
    </row>
    <row r="157" customFormat="false" ht="15" hidden="false" customHeight="true" outlineLevel="0" collapsed="false">
      <c r="B157" s="106"/>
      <c r="C157" s="1" t="n">
        <v>21</v>
      </c>
      <c r="D157" s="34" t="n">
        <v>40</v>
      </c>
      <c r="E157" s="35" t="n">
        <v>3</v>
      </c>
      <c r="F157" s="35" t="n">
        <f aca="false">D157*E157</f>
        <v>120</v>
      </c>
      <c r="G157" s="35" t="n">
        <v>18</v>
      </c>
      <c r="H157" s="35" t="n">
        <v>120</v>
      </c>
      <c r="I157" s="35" t="n">
        <v>40</v>
      </c>
      <c r="J157" s="1" t="n">
        <v>40</v>
      </c>
      <c r="K157" s="35" t="n">
        <v>129.2453</v>
      </c>
      <c r="L157" s="35" t="n">
        <f aca="false">ABS((J157-D157)/D157)</f>
        <v>0</v>
      </c>
      <c r="M157" s="36" t="n">
        <f aca="false">ABS((K157-F157)/F157)</f>
        <v>0.0770441666666666</v>
      </c>
    </row>
    <row r="158" customFormat="false" ht="15" hidden="false" customHeight="true" outlineLevel="0" collapsed="false">
      <c r="B158" s="106"/>
      <c r="C158" s="1" t="n">
        <v>22</v>
      </c>
      <c r="D158" s="34" t="n">
        <v>40</v>
      </c>
      <c r="E158" s="35" t="n">
        <v>3</v>
      </c>
      <c r="F158" s="35" t="n">
        <f aca="false">D158*E158</f>
        <v>120</v>
      </c>
      <c r="G158" s="35" t="n">
        <v>18</v>
      </c>
      <c r="H158" s="35" t="n">
        <v>120</v>
      </c>
      <c r="I158" s="35" t="n">
        <v>40</v>
      </c>
      <c r="J158" s="1" t="n">
        <v>40</v>
      </c>
      <c r="K158" s="35" t="n">
        <v>129.9063</v>
      </c>
      <c r="L158" s="35" t="n">
        <f aca="false">ABS((J158-D158)/D158)</f>
        <v>0</v>
      </c>
      <c r="M158" s="36" t="n">
        <f aca="false">ABS((K158-F158)/F158)</f>
        <v>0.0825524999999999</v>
      </c>
    </row>
    <row r="159" customFormat="false" ht="15" hidden="false" customHeight="true" outlineLevel="0" collapsed="false">
      <c r="B159" s="106"/>
      <c r="C159" s="1" t="n">
        <v>23</v>
      </c>
      <c r="D159" s="34" t="n">
        <v>40</v>
      </c>
      <c r="E159" s="35" t="n">
        <v>3</v>
      </c>
      <c r="F159" s="35" t="n">
        <f aca="false">D159*E159</f>
        <v>120</v>
      </c>
      <c r="G159" s="35" t="n">
        <v>18</v>
      </c>
      <c r="H159" s="35" t="n">
        <v>120</v>
      </c>
      <c r="I159" s="35" t="n">
        <v>40</v>
      </c>
      <c r="J159" s="1" t="n">
        <v>40</v>
      </c>
      <c r="K159" s="35" t="n">
        <v>129.8921</v>
      </c>
      <c r="L159" s="35" t="n">
        <f aca="false">ABS((J159-D159)/D159)</f>
        <v>0</v>
      </c>
      <c r="M159" s="36" t="n">
        <f aca="false">ABS((K159-F159)/F159)</f>
        <v>0.0824341666666667</v>
      </c>
    </row>
    <row r="160" customFormat="false" ht="15" hidden="false" customHeight="true" outlineLevel="0" collapsed="false">
      <c r="B160" s="106"/>
      <c r="C160" s="1" t="n">
        <v>24</v>
      </c>
      <c r="D160" s="34" t="n">
        <v>40</v>
      </c>
      <c r="E160" s="35" t="n">
        <v>3</v>
      </c>
      <c r="F160" s="35" t="n">
        <f aca="false">D160*E160</f>
        <v>120</v>
      </c>
      <c r="G160" s="35" t="n">
        <v>18</v>
      </c>
      <c r="H160" s="35" t="n">
        <v>120</v>
      </c>
      <c r="I160" s="35" t="n">
        <v>40</v>
      </c>
      <c r="J160" s="1" t="n">
        <v>40</v>
      </c>
      <c r="K160" s="35" t="n">
        <v>129.8616</v>
      </c>
      <c r="L160" s="35" t="n">
        <f aca="false">ABS((J160-D160)/D160)</f>
        <v>0</v>
      </c>
      <c r="M160" s="36" t="n">
        <f aca="false">ABS((K160-F160)/F160)</f>
        <v>0.0821800000000001</v>
      </c>
    </row>
    <row r="161" customFormat="false" ht="15" hidden="false" customHeight="true" outlineLevel="0" collapsed="false">
      <c r="B161" s="106"/>
      <c r="C161" s="1" t="n">
        <v>25</v>
      </c>
      <c r="D161" s="34" t="n">
        <v>40</v>
      </c>
      <c r="E161" s="35" t="n">
        <v>3</v>
      </c>
      <c r="F161" s="35" t="n">
        <f aca="false">D161*E161</f>
        <v>120</v>
      </c>
      <c r="G161" s="35" t="n">
        <v>18</v>
      </c>
      <c r="H161" s="35" t="n">
        <v>120</v>
      </c>
      <c r="I161" s="35" t="n">
        <v>40</v>
      </c>
      <c r="J161" s="1" t="n">
        <v>41</v>
      </c>
      <c r="K161" s="35" t="n">
        <v>130.9733</v>
      </c>
      <c r="L161" s="35" t="n">
        <f aca="false">ABS((J161-D161)/D161)</f>
        <v>0.025</v>
      </c>
      <c r="M161" s="36" t="n">
        <f aca="false">ABS((K161-F161)/F161)</f>
        <v>0.0914441666666666</v>
      </c>
    </row>
    <row r="162" customFormat="false" ht="15" hidden="false" customHeight="true" outlineLevel="0" collapsed="false">
      <c r="B162" s="106"/>
      <c r="C162" s="108" t="s">
        <v>101</v>
      </c>
      <c r="D162" s="109" t="n">
        <f aca="false">SUM(D137:D161)</f>
        <v>1000</v>
      </c>
      <c r="E162" s="110" t="s">
        <v>102</v>
      </c>
      <c r="F162" s="110" t="n">
        <f aca="false">SUM(F137:F161)</f>
        <v>3000</v>
      </c>
      <c r="G162" s="110" t="s">
        <v>102</v>
      </c>
      <c r="H162" s="110" t="s">
        <v>102</v>
      </c>
      <c r="I162" s="110" t="s">
        <v>102</v>
      </c>
      <c r="J162" s="109" t="n">
        <f aca="false">SUM(J137:J161)</f>
        <v>1004</v>
      </c>
      <c r="K162" s="110" t="n">
        <f aca="false">SUM(K137:K161)</f>
        <v>3249.2353</v>
      </c>
      <c r="L162" s="63"/>
      <c r="M162" s="113"/>
    </row>
    <row r="163" customFormat="false" ht="15" hidden="false" customHeight="true" outlineLevel="0" collapsed="false">
      <c r="B163" s="106" t="s">
        <v>48</v>
      </c>
      <c r="C163" s="107" t="n">
        <v>1</v>
      </c>
      <c r="D163" s="34" t="n">
        <v>40</v>
      </c>
      <c r="E163" s="35" t="n">
        <v>3</v>
      </c>
      <c r="F163" s="35" t="n">
        <f aca="false">D163*E163</f>
        <v>120</v>
      </c>
      <c r="G163" s="35" t="n">
        <v>18</v>
      </c>
      <c r="H163" s="35" t="n">
        <v>120</v>
      </c>
      <c r="I163" s="35" t="n">
        <v>40</v>
      </c>
      <c r="J163" s="1" t="n">
        <v>40</v>
      </c>
      <c r="K163" s="35" t="n">
        <v>128.6867</v>
      </c>
      <c r="L163" s="35" t="n">
        <f aca="false">ABS((J163-D163)/D163)</f>
        <v>0</v>
      </c>
      <c r="M163" s="36" t="n">
        <f aca="false">ABS((K163-F163)/F163)</f>
        <v>0.0723891666666667</v>
      </c>
    </row>
    <row r="164" customFormat="false" ht="15" hidden="false" customHeight="true" outlineLevel="0" collapsed="false">
      <c r="B164" s="106"/>
      <c r="C164" s="1" t="n">
        <v>2</v>
      </c>
      <c r="D164" s="34" t="n">
        <v>40</v>
      </c>
      <c r="E164" s="35" t="n">
        <v>3</v>
      </c>
      <c r="F164" s="35" t="n">
        <f aca="false">D164*E164</f>
        <v>120</v>
      </c>
      <c r="G164" s="35" t="n">
        <v>18</v>
      </c>
      <c r="H164" s="35" t="n">
        <v>120</v>
      </c>
      <c r="I164" s="35" t="n">
        <v>40</v>
      </c>
      <c r="J164" s="1" t="n">
        <v>40</v>
      </c>
      <c r="K164" s="35" t="n">
        <v>129.147</v>
      </c>
      <c r="L164" s="35" t="n">
        <f aca="false">ABS((J164-D164)/D164)</f>
        <v>0</v>
      </c>
      <c r="M164" s="36" t="n">
        <f aca="false">ABS((K164-F164)/F164)</f>
        <v>0.0762249999999999</v>
      </c>
    </row>
    <row r="165" customFormat="false" ht="15" hidden="false" customHeight="true" outlineLevel="0" collapsed="false">
      <c r="B165" s="106"/>
      <c r="C165" s="1" t="n">
        <v>3</v>
      </c>
      <c r="D165" s="34" t="n">
        <v>40</v>
      </c>
      <c r="E165" s="35" t="n">
        <v>3</v>
      </c>
      <c r="F165" s="35" t="n">
        <f aca="false">D165*E165</f>
        <v>120</v>
      </c>
      <c r="G165" s="35" t="n">
        <v>18</v>
      </c>
      <c r="H165" s="35" t="n">
        <v>120</v>
      </c>
      <c r="I165" s="35" t="n">
        <v>40</v>
      </c>
      <c r="J165" s="1" t="n">
        <v>40</v>
      </c>
      <c r="K165" s="35" t="n">
        <v>129.8414</v>
      </c>
      <c r="L165" s="35" t="n">
        <f aca="false">ABS((J165-D165)/D165)</f>
        <v>0</v>
      </c>
      <c r="M165" s="36" t="n">
        <f aca="false">ABS((K165-F165)/F165)</f>
        <v>0.0820116666666666</v>
      </c>
    </row>
    <row r="166" customFormat="false" ht="15" hidden="false" customHeight="true" outlineLevel="0" collapsed="false">
      <c r="B166" s="106"/>
      <c r="C166" s="1" t="n">
        <v>4</v>
      </c>
      <c r="D166" s="34" t="n">
        <v>40</v>
      </c>
      <c r="E166" s="35" t="n">
        <v>3</v>
      </c>
      <c r="F166" s="35" t="n">
        <f aca="false">D166*E166</f>
        <v>120</v>
      </c>
      <c r="G166" s="35" t="n">
        <v>18</v>
      </c>
      <c r="H166" s="35" t="n">
        <v>120</v>
      </c>
      <c r="I166" s="35" t="n">
        <v>40</v>
      </c>
      <c r="J166" s="1" t="n">
        <v>40</v>
      </c>
      <c r="K166" s="35" t="n">
        <v>129.0301</v>
      </c>
      <c r="L166" s="35" t="n">
        <f aca="false">ABS((J166-D166)/D166)</f>
        <v>0</v>
      </c>
      <c r="M166" s="36" t="n">
        <f aca="false">ABS((K166-F166)/F166)</f>
        <v>0.0752508333333334</v>
      </c>
    </row>
    <row r="167" customFormat="false" ht="15" hidden="false" customHeight="true" outlineLevel="0" collapsed="false">
      <c r="B167" s="106"/>
      <c r="C167" s="1" t="n">
        <v>5</v>
      </c>
      <c r="D167" s="34" t="n">
        <v>40</v>
      </c>
      <c r="E167" s="35" t="n">
        <v>3</v>
      </c>
      <c r="F167" s="35" t="n">
        <f aca="false">D167*E167</f>
        <v>120</v>
      </c>
      <c r="G167" s="35" t="n">
        <v>18</v>
      </c>
      <c r="H167" s="35" t="n">
        <v>120</v>
      </c>
      <c r="I167" s="35" t="n">
        <v>40</v>
      </c>
      <c r="J167" s="1" t="n">
        <v>40</v>
      </c>
      <c r="K167" s="35" t="n">
        <v>127.7064</v>
      </c>
      <c r="L167" s="35" t="n">
        <f aca="false">ABS((J167-D167)/D167)</f>
        <v>0</v>
      </c>
      <c r="M167" s="36" t="n">
        <f aca="false">ABS((K167-F167)/F167)</f>
        <v>0.06422</v>
      </c>
    </row>
    <row r="168" customFormat="false" ht="15" hidden="false" customHeight="true" outlineLevel="0" collapsed="false">
      <c r="B168" s="106"/>
      <c r="C168" s="1" t="n">
        <v>6</v>
      </c>
      <c r="D168" s="34" t="n">
        <v>40</v>
      </c>
      <c r="E168" s="35" t="n">
        <v>3</v>
      </c>
      <c r="F168" s="35" t="n">
        <f aca="false">D168*E168</f>
        <v>120</v>
      </c>
      <c r="G168" s="35" t="n">
        <v>18</v>
      </c>
      <c r="H168" s="35" t="n">
        <v>120</v>
      </c>
      <c r="I168" s="35" t="n">
        <v>40</v>
      </c>
      <c r="J168" s="1" t="n">
        <v>40</v>
      </c>
      <c r="K168" s="35" t="n">
        <v>128.0079</v>
      </c>
      <c r="L168" s="35" t="n">
        <f aca="false">ABS((J168-D168)/D168)</f>
        <v>0</v>
      </c>
      <c r="M168" s="36" t="n">
        <f aca="false">ABS((K168-F168)/F168)</f>
        <v>0.0667325000000001</v>
      </c>
    </row>
    <row r="169" customFormat="false" ht="15" hidden="false" customHeight="true" outlineLevel="0" collapsed="false">
      <c r="B169" s="106"/>
      <c r="C169" s="108" t="s">
        <v>101</v>
      </c>
      <c r="D169" s="109" t="n">
        <f aca="false">SUM(D163:D168)</f>
        <v>240</v>
      </c>
      <c r="E169" s="110" t="s">
        <v>102</v>
      </c>
      <c r="F169" s="110" t="n">
        <f aca="false">SUM(F163:F168)</f>
        <v>720</v>
      </c>
      <c r="G169" s="110" t="s">
        <v>102</v>
      </c>
      <c r="H169" s="110" t="s">
        <v>102</v>
      </c>
      <c r="I169" s="110" t="s">
        <v>102</v>
      </c>
      <c r="J169" s="109" t="n">
        <f aca="false">SUM(J163:J168)</f>
        <v>240</v>
      </c>
      <c r="K169" s="110" t="n">
        <f aca="false">SUM(K163:K168)</f>
        <v>772.4195</v>
      </c>
      <c r="L169" s="63"/>
      <c r="M169" s="64"/>
    </row>
    <row r="170" customFormat="false" ht="15" hidden="false" customHeight="true" outlineLevel="0" collapsed="false">
      <c r="B170" s="106" t="s">
        <v>49</v>
      </c>
      <c r="C170" s="107" t="n">
        <v>1</v>
      </c>
      <c r="D170" s="34" t="n">
        <v>40</v>
      </c>
      <c r="E170" s="35" t="n">
        <v>3</v>
      </c>
      <c r="F170" s="35" t="n">
        <f aca="false">D170*E170</f>
        <v>120</v>
      </c>
      <c r="G170" s="35" t="n">
        <v>18</v>
      </c>
      <c r="H170" s="35" t="n">
        <v>120</v>
      </c>
      <c r="I170" s="35" t="n">
        <v>40</v>
      </c>
      <c r="J170" s="1" t="n">
        <v>40</v>
      </c>
      <c r="K170" s="35" t="n">
        <v>126.7972</v>
      </c>
      <c r="L170" s="35" t="n">
        <f aca="false">ABS((J170-D170)/D170)</f>
        <v>0</v>
      </c>
      <c r="M170" s="36" t="n">
        <f aca="false">ABS((K170-F170)/F170)</f>
        <v>0.0566433333333334</v>
      </c>
    </row>
    <row r="171" customFormat="false" ht="15" hidden="false" customHeight="true" outlineLevel="0" collapsed="false">
      <c r="B171" s="106"/>
      <c r="C171" s="1" t="n">
        <v>2</v>
      </c>
      <c r="D171" s="34" t="n">
        <v>40</v>
      </c>
      <c r="E171" s="35" t="n">
        <v>3</v>
      </c>
      <c r="F171" s="35" t="n">
        <f aca="false">D171*E171</f>
        <v>120</v>
      </c>
      <c r="G171" s="35" t="n">
        <v>18</v>
      </c>
      <c r="H171" s="35" t="n">
        <v>120</v>
      </c>
      <c r="I171" s="35" t="n">
        <v>40</v>
      </c>
      <c r="J171" s="1" t="n">
        <v>40</v>
      </c>
      <c r="K171" s="35" t="n">
        <v>127.1815</v>
      </c>
      <c r="L171" s="35" t="n">
        <f aca="false">ABS((J171-D171)/D171)</f>
        <v>0</v>
      </c>
      <c r="M171" s="36" t="n">
        <f aca="false">ABS((K171-F171)/F171)</f>
        <v>0.0598458333333333</v>
      </c>
    </row>
    <row r="172" customFormat="false" ht="15" hidden="false" customHeight="true" outlineLevel="0" collapsed="false">
      <c r="B172" s="106"/>
      <c r="C172" s="1" t="n">
        <v>3</v>
      </c>
      <c r="D172" s="34" t="n">
        <v>40</v>
      </c>
      <c r="E172" s="35" t="n">
        <v>3</v>
      </c>
      <c r="F172" s="35" t="n">
        <f aca="false">D172*E172</f>
        <v>120</v>
      </c>
      <c r="G172" s="35" t="n">
        <v>18</v>
      </c>
      <c r="H172" s="35" t="n">
        <v>120</v>
      </c>
      <c r="I172" s="35" t="n">
        <v>40</v>
      </c>
      <c r="J172" s="1" t="n">
        <v>42</v>
      </c>
      <c r="K172" s="35" t="n">
        <v>134.522</v>
      </c>
      <c r="L172" s="35" t="n">
        <f aca="false">ABS((J172-D172)/D172)</f>
        <v>0.05</v>
      </c>
      <c r="M172" s="36" t="n">
        <f aca="false">ABS((K172-F172)/F172)</f>
        <v>0.121016666666667</v>
      </c>
    </row>
    <row r="173" customFormat="false" ht="15" hidden="false" customHeight="true" outlineLevel="0" collapsed="false">
      <c r="B173" s="106"/>
      <c r="C173" s="1" t="n">
        <v>4</v>
      </c>
      <c r="D173" s="34" t="n">
        <v>40</v>
      </c>
      <c r="E173" s="35" t="n">
        <v>3</v>
      </c>
      <c r="F173" s="35" t="n">
        <f aca="false">D173*E173</f>
        <v>120</v>
      </c>
      <c r="G173" s="35" t="n">
        <v>18</v>
      </c>
      <c r="H173" s="35" t="n">
        <v>120</v>
      </c>
      <c r="I173" s="35" t="n">
        <v>40</v>
      </c>
      <c r="J173" s="1" t="n">
        <v>40</v>
      </c>
      <c r="K173" s="35" t="n">
        <v>130.1859</v>
      </c>
      <c r="L173" s="35" t="n">
        <f aca="false">ABS((J173-D173)/D173)</f>
        <v>0</v>
      </c>
      <c r="M173" s="36" t="n">
        <f aca="false">ABS((K173-F173)/F173)</f>
        <v>0.0848825</v>
      </c>
    </row>
    <row r="174" customFormat="false" ht="15" hidden="false" customHeight="true" outlineLevel="0" collapsed="false">
      <c r="B174" s="106"/>
      <c r="C174" s="1" t="n">
        <v>5</v>
      </c>
      <c r="D174" s="34" t="n">
        <v>40</v>
      </c>
      <c r="E174" s="35" t="n">
        <v>3</v>
      </c>
      <c r="F174" s="35" t="n">
        <f aca="false">D174*E174</f>
        <v>120</v>
      </c>
      <c r="G174" s="35" t="n">
        <v>18</v>
      </c>
      <c r="H174" s="35" t="n">
        <v>120</v>
      </c>
      <c r="I174" s="35" t="n">
        <v>40</v>
      </c>
      <c r="J174" s="1" t="n">
        <v>40</v>
      </c>
      <c r="K174" s="35" t="n">
        <v>131.1643</v>
      </c>
      <c r="L174" s="35" t="n">
        <f aca="false">ABS((J174-D174)/D174)</f>
        <v>0</v>
      </c>
      <c r="M174" s="36" t="n">
        <f aca="false">ABS((K174-F174)/F174)</f>
        <v>0.0930358333333333</v>
      </c>
    </row>
    <row r="175" customFormat="false" ht="15" hidden="false" customHeight="true" outlineLevel="0" collapsed="false">
      <c r="B175" s="106"/>
      <c r="C175" s="1" t="n">
        <v>6</v>
      </c>
      <c r="D175" s="34" t="n">
        <v>40</v>
      </c>
      <c r="E175" s="35" t="n">
        <v>3</v>
      </c>
      <c r="F175" s="35" t="n">
        <f aca="false">D175*E175</f>
        <v>120</v>
      </c>
      <c r="G175" s="35" t="n">
        <v>18</v>
      </c>
      <c r="H175" s="35" t="n">
        <v>120</v>
      </c>
      <c r="I175" s="35" t="n">
        <v>40</v>
      </c>
      <c r="J175" s="1" t="n">
        <v>40</v>
      </c>
      <c r="K175" s="35" t="n">
        <v>132.0304</v>
      </c>
      <c r="L175" s="35" t="n">
        <f aca="false">ABS((J175-D175)/D175)</f>
        <v>0</v>
      </c>
      <c r="M175" s="36" t="n">
        <f aca="false">ABS((K175-F175)/F175)</f>
        <v>0.100253333333333</v>
      </c>
    </row>
    <row r="176" customFormat="false" ht="15" hidden="false" customHeight="true" outlineLevel="0" collapsed="false">
      <c r="B176" s="106"/>
      <c r="C176" s="1" t="n">
        <v>7</v>
      </c>
      <c r="D176" s="34" t="n">
        <v>40</v>
      </c>
      <c r="E176" s="35" t="n">
        <v>3</v>
      </c>
      <c r="F176" s="35" t="n">
        <f aca="false">D176*E176</f>
        <v>120</v>
      </c>
      <c r="G176" s="35" t="n">
        <v>18</v>
      </c>
      <c r="H176" s="35" t="n">
        <v>120</v>
      </c>
      <c r="I176" s="35" t="n">
        <v>40</v>
      </c>
      <c r="J176" s="1" t="n">
        <v>40</v>
      </c>
      <c r="K176" s="35" t="n">
        <v>130.5487</v>
      </c>
      <c r="L176" s="35" t="n">
        <f aca="false">ABS((J176-D176)/D176)</f>
        <v>0</v>
      </c>
      <c r="M176" s="36" t="n">
        <f aca="false">ABS((K176-F176)/F176)</f>
        <v>0.0879058333333333</v>
      </c>
    </row>
    <row r="177" customFormat="false" ht="15" hidden="false" customHeight="true" outlineLevel="0" collapsed="false">
      <c r="B177" s="106"/>
      <c r="C177" s="1" t="n">
        <v>8</v>
      </c>
      <c r="D177" s="34" t="n">
        <v>40</v>
      </c>
      <c r="E177" s="35" t="n">
        <v>3</v>
      </c>
      <c r="F177" s="35" t="n">
        <f aca="false">D177*E177</f>
        <v>120</v>
      </c>
      <c r="G177" s="35" t="n">
        <v>18</v>
      </c>
      <c r="H177" s="35" t="n">
        <v>120</v>
      </c>
      <c r="I177" s="35" t="n">
        <v>40</v>
      </c>
      <c r="J177" s="1" t="n">
        <v>40</v>
      </c>
      <c r="K177" s="35" t="n">
        <v>128.2062</v>
      </c>
      <c r="L177" s="35" t="n">
        <f aca="false">ABS((J177-D177)/D177)</f>
        <v>0</v>
      </c>
      <c r="M177" s="36" t="n">
        <f aca="false">ABS((K177-F177)/F177)</f>
        <v>0.068385</v>
      </c>
    </row>
    <row r="178" customFormat="false" ht="15" hidden="false" customHeight="true" outlineLevel="0" collapsed="false">
      <c r="B178" s="106"/>
      <c r="C178" s="1" t="n">
        <v>9</v>
      </c>
      <c r="D178" s="34" t="n">
        <v>40</v>
      </c>
      <c r="E178" s="35" t="n">
        <v>3</v>
      </c>
      <c r="F178" s="35" t="n">
        <f aca="false">D178*E178</f>
        <v>120</v>
      </c>
      <c r="G178" s="35" t="n">
        <v>18</v>
      </c>
      <c r="H178" s="35" t="n">
        <v>120</v>
      </c>
      <c r="I178" s="35" t="n">
        <v>40</v>
      </c>
      <c r="J178" s="1" t="n">
        <v>41</v>
      </c>
      <c r="K178" s="35" t="n">
        <v>129.4842</v>
      </c>
      <c r="L178" s="35" t="n">
        <f aca="false">ABS((J178-D178)/D178)</f>
        <v>0.025</v>
      </c>
      <c r="M178" s="36" t="n">
        <f aca="false">ABS((K178-F178)/F178)</f>
        <v>0.0790349999999999</v>
      </c>
    </row>
    <row r="179" customFormat="false" ht="15" hidden="false" customHeight="true" outlineLevel="0" collapsed="false">
      <c r="B179" s="106"/>
      <c r="C179" s="29" t="n">
        <v>10</v>
      </c>
      <c r="D179" s="34" t="n">
        <v>40</v>
      </c>
      <c r="E179" s="35" t="n">
        <v>3</v>
      </c>
      <c r="F179" s="35" t="n">
        <f aca="false">D179*E179</f>
        <v>120</v>
      </c>
      <c r="G179" s="35" t="n">
        <v>18</v>
      </c>
      <c r="H179" s="35" t="n">
        <v>120</v>
      </c>
      <c r="I179" s="35" t="n">
        <v>40</v>
      </c>
      <c r="J179" s="1" t="n">
        <v>40</v>
      </c>
      <c r="K179" s="35" t="n">
        <v>129.2707</v>
      </c>
      <c r="L179" s="35" t="n">
        <f aca="false">ABS((J179-D179)/D179)</f>
        <v>0</v>
      </c>
      <c r="M179" s="36" t="n">
        <f aca="false">ABS((K179-F179)/F179)</f>
        <v>0.0772558333333334</v>
      </c>
    </row>
    <row r="180" customFormat="false" ht="15" hidden="false" customHeight="true" outlineLevel="0" collapsed="false">
      <c r="B180" s="106"/>
      <c r="C180" s="1" t="n">
        <v>11</v>
      </c>
      <c r="D180" s="34" t="n">
        <v>40</v>
      </c>
      <c r="E180" s="35" t="n">
        <v>3</v>
      </c>
      <c r="F180" s="35" t="n">
        <f aca="false">D180*E180</f>
        <v>120</v>
      </c>
      <c r="G180" s="35" t="n">
        <v>18</v>
      </c>
      <c r="H180" s="35" t="n">
        <v>120</v>
      </c>
      <c r="I180" s="35" t="n">
        <v>40</v>
      </c>
      <c r="J180" s="1" t="n">
        <v>40</v>
      </c>
      <c r="K180" s="35" t="n">
        <v>131.4285</v>
      </c>
      <c r="L180" s="35" t="n">
        <f aca="false">ABS((J180-D180)/D180)</f>
        <v>0</v>
      </c>
      <c r="M180" s="36" t="n">
        <f aca="false">ABS((K180-F180)/F180)</f>
        <v>0.0952375000000001</v>
      </c>
    </row>
    <row r="181" customFormat="false" ht="15" hidden="false" customHeight="true" outlineLevel="0" collapsed="false">
      <c r="B181" s="106"/>
      <c r="C181" s="1" t="n">
        <v>12</v>
      </c>
      <c r="D181" s="34" t="n">
        <v>40</v>
      </c>
      <c r="E181" s="35" t="n">
        <v>3</v>
      </c>
      <c r="F181" s="35" t="n">
        <f aca="false">D181*E181</f>
        <v>120</v>
      </c>
      <c r="G181" s="35" t="n">
        <v>18</v>
      </c>
      <c r="H181" s="35" t="n">
        <v>120</v>
      </c>
      <c r="I181" s="35" t="n">
        <v>40</v>
      </c>
      <c r="J181" s="1" t="n">
        <v>40</v>
      </c>
      <c r="K181" s="35" t="n">
        <v>128.903</v>
      </c>
      <c r="L181" s="35" t="n">
        <f aca="false">ABS((J181-D181)/D181)</f>
        <v>0</v>
      </c>
      <c r="M181" s="36" t="n">
        <f aca="false">ABS((K181-F181)/F181)</f>
        <v>0.0741916666666666</v>
      </c>
    </row>
    <row r="182" customFormat="false" ht="15" hidden="false" customHeight="true" outlineLevel="0" collapsed="false">
      <c r="B182" s="106"/>
      <c r="C182" s="1" t="n">
        <v>13</v>
      </c>
      <c r="D182" s="34" t="n">
        <v>40</v>
      </c>
      <c r="E182" s="35" t="n">
        <v>3</v>
      </c>
      <c r="F182" s="35" t="n">
        <f aca="false">D182*E182</f>
        <v>120</v>
      </c>
      <c r="G182" s="35" t="n">
        <v>18</v>
      </c>
      <c r="H182" s="35" t="n">
        <v>120</v>
      </c>
      <c r="I182" s="35" t="n">
        <v>40</v>
      </c>
      <c r="J182" s="1" t="n">
        <v>41</v>
      </c>
      <c r="K182" s="35" t="n">
        <v>131.1328</v>
      </c>
      <c r="L182" s="35" t="n">
        <f aca="false">ABS((J182-D182)/D182)</f>
        <v>0.025</v>
      </c>
      <c r="M182" s="36" t="n">
        <f aca="false">ABS((K182-F182)/F182)</f>
        <v>0.0927733333333334</v>
      </c>
    </row>
    <row r="183" customFormat="false" ht="15" hidden="false" customHeight="true" outlineLevel="0" collapsed="false">
      <c r="B183" s="106"/>
      <c r="C183" s="1" t="n">
        <v>14</v>
      </c>
      <c r="D183" s="34" t="n">
        <v>40</v>
      </c>
      <c r="E183" s="35" t="n">
        <v>3</v>
      </c>
      <c r="F183" s="35" t="n">
        <f aca="false">D183*E183</f>
        <v>120</v>
      </c>
      <c r="G183" s="35" t="n">
        <v>18</v>
      </c>
      <c r="H183" s="35" t="n">
        <v>120</v>
      </c>
      <c r="I183" s="35" t="n">
        <v>40</v>
      </c>
      <c r="J183" s="1" t="n">
        <v>40</v>
      </c>
      <c r="K183" s="35" t="n">
        <v>130.4423</v>
      </c>
      <c r="L183" s="35" t="n">
        <f aca="false">ABS((J183-D183)/D183)</f>
        <v>0</v>
      </c>
      <c r="M183" s="36" t="n">
        <f aca="false">ABS((K183-F183)/F183)</f>
        <v>0.0870191666666666</v>
      </c>
    </row>
    <row r="184" customFormat="false" ht="15" hidden="false" customHeight="true" outlineLevel="0" collapsed="false">
      <c r="B184" s="106"/>
      <c r="C184" s="1" t="n">
        <v>15</v>
      </c>
      <c r="D184" s="34" t="n">
        <v>40</v>
      </c>
      <c r="E184" s="35" t="n">
        <v>3</v>
      </c>
      <c r="F184" s="35" t="n">
        <f aca="false">D184*E184</f>
        <v>120</v>
      </c>
      <c r="G184" s="35" t="n">
        <v>18</v>
      </c>
      <c r="H184" s="35" t="n">
        <v>120</v>
      </c>
      <c r="I184" s="35" t="n">
        <v>40</v>
      </c>
      <c r="J184" s="1" t="n">
        <v>40</v>
      </c>
      <c r="K184" s="35" t="n">
        <v>131.2348</v>
      </c>
      <c r="L184" s="35" t="n">
        <f aca="false">ABS((J184-D184)/D184)</f>
        <v>0</v>
      </c>
      <c r="M184" s="36" t="n">
        <f aca="false">ABS((K184-F184)/F184)</f>
        <v>0.0936233333333334</v>
      </c>
    </row>
    <row r="185" customFormat="false" ht="15" hidden="false" customHeight="true" outlineLevel="0" collapsed="false">
      <c r="B185" s="106"/>
      <c r="C185" s="108" t="s">
        <v>101</v>
      </c>
      <c r="D185" s="109" t="n">
        <f aca="false">SUM(D170:D184)</f>
        <v>600</v>
      </c>
      <c r="E185" s="110" t="s">
        <v>102</v>
      </c>
      <c r="F185" s="110" t="n">
        <f aca="false">SUM(F170:F184)</f>
        <v>1800</v>
      </c>
      <c r="G185" s="110" t="s">
        <v>102</v>
      </c>
      <c r="H185" s="110" t="s">
        <v>102</v>
      </c>
      <c r="I185" s="110" t="s">
        <v>102</v>
      </c>
      <c r="J185" s="109" t="n">
        <f aca="false">SUM(J170:J184)</f>
        <v>604</v>
      </c>
      <c r="K185" s="110" t="n">
        <f aca="false">SUM(K170:K184)</f>
        <v>1952.5325</v>
      </c>
      <c r="L185" s="63"/>
      <c r="M185" s="113"/>
    </row>
    <row r="186" customFormat="false" ht="15" hidden="false" customHeight="true" outlineLevel="0" collapsed="false">
      <c r="B186" s="106" t="s">
        <v>52</v>
      </c>
      <c r="C186" s="107" t="n">
        <v>1</v>
      </c>
      <c r="D186" s="34" t="n">
        <v>40</v>
      </c>
      <c r="E186" s="35" t="n">
        <v>3</v>
      </c>
      <c r="F186" s="35" t="n">
        <f aca="false">D186*E186</f>
        <v>120</v>
      </c>
      <c r="G186" s="35" t="n">
        <v>18</v>
      </c>
      <c r="H186" s="35" t="n">
        <v>120</v>
      </c>
      <c r="I186" s="35" t="n">
        <v>40</v>
      </c>
      <c r="J186" s="1" t="n">
        <v>40</v>
      </c>
      <c r="K186" s="35" t="n">
        <v>129.4886</v>
      </c>
      <c r="L186" s="35" t="n">
        <f aca="false">ABS((J186-D186)/D186)</f>
        <v>0</v>
      </c>
      <c r="M186" s="36" t="n">
        <f aca="false">ABS((K186-F186)/F186)</f>
        <v>0.0790716666666666</v>
      </c>
    </row>
    <row r="187" customFormat="false" ht="15" hidden="false" customHeight="true" outlineLevel="0" collapsed="false">
      <c r="B187" s="106"/>
      <c r="C187" s="1" t="n">
        <v>2</v>
      </c>
      <c r="D187" s="34" t="n">
        <v>40</v>
      </c>
      <c r="E187" s="35" t="n">
        <v>3</v>
      </c>
      <c r="F187" s="35" t="n">
        <f aca="false">D187*E187</f>
        <v>120</v>
      </c>
      <c r="G187" s="35" t="n">
        <v>18</v>
      </c>
      <c r="H187" s="35" t="n">
        <v>120</v>
      </c>
      <c r="I187" s="35" t="n">
        <v>40</v>
      </c>
      <c r="J187" s="1" t="n">
        <v>41</v>
      </c>
      <c r="K187" s="35" t="n">
        <v>129.5724</v>
      </c>
      <c r="L187" s="35" t="n">
        <f aca="false">ABS((J187-D187)/D187)</f>
        <v>0.025</v>
      </c>
      <c r="M187" s="36" t="n">
        <f aca="false">ABS((K187-F187)/F187)</f>
        <v>0.0797699999999999</v>
      </c>
    </row>
    <row r="188" customFormat="false" ht="15" hidden="false" customHeight="true" outlineLevel="0" collapsed="false">
      <c r="B188" s="106"/>
      <c r="C188" s="1" t="n">
        <v>3</v>
      </c>
      <c r="D188" s="34" t="n">
        <v>40</v>
      </c>
      <c r="E188" s="35" t="n">
        <v>3</v>
      </c>
      <c r="F188" s="35" t="n">
        <f aca="false">D188*E188</f>
        <v>120</v>
      </c>
      <c r="G188" s="35" t="n">
        <v>18</v>
      </c>
      <c r="H188" s="35" t="n">
        <v>120</v>
      </c>
      <c r="I188" s="35" t="n">
        <v>40</v>
      </c>
      <c r="J188" s="1" t="n">
        <v>39</v>
      </c>
      <c r="K188" s="35" t="n">
        <v>126.7116</v>
      </c>
      <c r="L188" s="35" t="n">
        <f aca="false">ABS((J188-D188)/D188)</f>
        <v>0.025</v>
      </c>
      <c r="M188" s="36" t="n">
        <f aca="false">ABS((K188-F188)/F188)</f>
        <v>0.05593</v>
      </c>
    </row>
    <row r="189" customFormat="false" ht="15" hidden="false" customHeight="true" outlineLevel="0" collapsed="false">
      <c r="B189" s="106"/>
      <c r="C189" s="1" t="n">
        <v>4</v>
      </c>
      <c r="D189" s="34" t="n">
        <v>40</v>
      </c>
      <c r="E189" s="35" t="n">
        <v>3</v>
      </c>
      <c r="F189" s="35" t="n">
        <f aca="false">D189*E189</f>
        <v>120</v>
      </c>
      <c r="G189" s="35" t="n">
        <v>18</v>
      </c>
      <c r="H189" s="35" t="n">
        <v>120</v>
      </c>
      <c r="I189" s="35" t="n">
        <v>40</v>
      </c>
      <c r="J189" s="1" t="n">
        <v>40</v>
      </c>
      <c r="K189" s="35" t="n">
        <v>130.0612</v>
      </c>
      <c r="L189" s="35" t="n">
        <f aca="false">ABS((J189-D189)/D189)</f>
        <v>0</v>
      </c>
      <c r="M189" s="36" t="n">
        <f aca="false">ABS((K189-F189)/F189)</f>
        <v>0.0838433333333335</v>
      </c>
    </row>
    <row r="190" customFormat="false" ht="15" hidden="false" customHeight="true" outlineLevel="0" collapsed="false">
      <c r="B190" s="106"/>
      <c r="C190" s="1" t="n">
        <v>5</v>
      </c>
      <c r="D190" s="34" t="n">
        <v>40</v>
      </c>
      <c r="E190" s="35" t="n">
        <v>3</v>
      </c>
      <c r="F190" s="35" t="n">
        <f aca="false">D190*E190</f>
        <v>120</v>
      </c>
      <c r="G190" s="35" t="n">
        <v>18</v>
      </c>
      <c r="H190" s="35" t="n">
        <v>120</v>
      </c>
      <c r="I190" s="35" t="n">
        <v>40</v>
      </c>
      <c r="J190" s="1" t="n">
        <v>39</v>
      </c>
      <c r="K190" s="35" t="n">
        <v>126.8539</v>
      </c>
      <c r="L190" s="35" t="n">
        <f aca="false">ABS((J190-D190)/D190)</f>
        <v>0.025</v>
      </c>
      <c r="M190" s="36" t="n">
        <f aca="false">ABS((K190-F190)/F190)</f>
        <v>0.0571158333333333</v>
      </c>
    </row>
    <row r="191" customFormat="false" ht="15" hidden="false" customHeight="true" outlineLevel="0" collapsed="false">
      <c r="B191" s="106"/>
      <c r="C191" s="1" t="n">
        <v>6</v>
      </c>
      <c r="D191" s="34" t="n">
        <v>40</v>
      </c>
      <c r="E191" s="35" t="n">
        <v>3</v>
      </c>
      <c r="F191" s="35" t="n">
        <f aca="false">D191*E191</f>
        <v>120</v>
      </c>
      <c r="G191" s="35" t="n">
        <v>18</v>
      </c>
      <c r="H191" s="35" t="n">
        <v>120</v>
      </c>
      <c r="I191" s="35" t="n">
        <v>40</v>
      </c>
      <c r="J191" s="1" t="n">
        <v>40</v>
      </c>
      <c r="K191" s="35" t="n">
        <v>129.7779</v>
      </c>
      <c r="L191" s="35" t="n">
        <f aca="false">ABS((J191-D191)/D191)</f>
        <v>0</v>
      </c>
      <c r="M191" s="36" t="n">
        <f aca="false">ABS((K191-F191)/F191)</f>
        <v>0.0814824999999999</v>
      </c>
    </row>
    <row r="192" customFormat="false" ht="15" hidden="false" customHeight="true" outlineLevel="0" collapsed="false">
      <c r="B192" s="106"/>
      <c r="C192" s="1" t="n">
        <v>7</v>
      </c>
      <c r="D192" s="34" t="n">
        <v>40</v>
      </c>
      <c r="E192" s="35" t="n">
        <v>3</v>
      </c>
      <c r="F192" s="35" t="n">
        <f aca="false">D192*E192</f>
        <v>120</v>
      </c>
      <c r="G192" s="35" t="n">
        <v>18</v>
      </c>
      <c r="H192" s="35" t="n">
        <v>120</v>
      </c>
      <c r="I192" s="35" t="n">
        <v>40</v>
      </c>
      <c r="J192" s="1" t="n">
        <v>40</v>
      </c>
      <c r="K192" s="35" t="n">
        <v>127.7146</v>
      </c>
      <c r="L192" s="35" t="n">
        <f aca="false">ABS((J192-D192)/D192)</f>
        <v>0</v>
      </c>
      <c r="M192" s="36" t="n">
        <f aca="false">ABS((K192-F192)/F192)</f>
        <v>0.0642883333333334</v>
      </c>
    </row>
    <row r="193" customFormat="false" ht="15" hidden="false" customHeight="true" outlineLevel="0" collapsed="false">
      <c r="B193" s="106"/>
      <c r="C193" s="1" t="n">
        <v>8</v>
      </c>
      <c r="D193" s="34" t="n">
        <v>40</v>
      </c>
      <c r="E193" s="35" t="n">
        <v>3</v>
      </c>
      <c r="F193" s="35" t="n">
        <f aca="false">D193*E193</f>
        <v>120</v>
      </c>
      <c r="G193" s="35" t="n">
        <v>18</v>
      </c>
      <c r="H193" s="35" t="n">
        <v>120</v>
      </c>
      <c r="I193" s="35" t="n">
        <v>40</v>
      </c>
      <c r="J193" s="1" t="n">
        <v>41</v>
      </c>
      <c r="K193" s="35" t="n">
        <v>132.9579</v>
      </c>
      <c r="L193" s="35" t="n">
        <f aca="false">ABS((J193-D193)/D193)</f>
        <v>0.025</v>
      </c>
      <c r="M193" s="36" t="n">
        <f aca="false">ABS((K193-F193)/F193)</f>
        <v>0.1079825</v>
      </c>
    </row>
    <row r="194" customFormat="false" ht="15" hidden="false" customHeight="true" outlineLevel="0" collapsed="false">
      <c r="B194" s="106"/>
      <c r="C194" s="1" t="n">
        <v>9</v>
      </c>
      <c r="D194" s="34" t="n">
        <v>40</v>
      </c>
      <c r="E194" s="35" t="n">
        <v>3</v>
      </c>
      <c r="F194" s="35" t="n">
        <f aca="false">D194*E194</f>
        <v>120</v>
      </c>
      <c r="G194" s="35" t="n">
        <v>18</v>
      </c>
      <c r="H194" s="35" t="n">
        <v>120</v>
      </c>
      <c r="I194" s="35" t="n">
        <v>40</v>
      </c>
      <c r="J194" s="1" t="n">
        <v>40</v>
      </c>
      <c r="K194" s="35" t="n">
        <v>130.7734</v>
      </c>
      <c r="L194" s="35" t="n">
        <f aca="false">ABS((J194-D194)/D194)</f>
        <v>0</v>
      </c>
      <c r="M194" s="36" t="n">
        <f aca="false">ABS((K194-F194)/F194)</f>
        <v>0.0897783333333334</v>
      </c>
    </row>
    <row r="195" customFormat="false" ht="15" hidden="false" customHeight="true" outlineLevel="0" collapsed="false">
      <c r="B195" s="106"/>
      <c r="C195" s="29" t="n">
        <v>10</v>
      </c>
      <c r="D195" s="34" t="n">
        <v>40</v>
      </c>
      <c r="E195" s="35" t="n">
        <v>3</v>
      </c>
      <c r="F195" s="35" t="n">
        <f aca="false">D195*E195</f>
        <v>120</v>
      </c>
      <c r="G195" s="35" t="n">
        <v>18</v>
      </c>
      <c r="H195" s="35" t="n">
        <v>120</v>
      </c>
      <c r="I195" s="35" t="n">
        <v>40</v>
      </c>
      <c r="J195" s="1" t="n">
        <v>40</v>
      </c>
      <c r="K195" s="35" t="n">
        <v>132.3587</v>
      </c>
      <c r="L195" s="35" t="n">
        <f aca="false">ABS((J195-D195)/D195)</f>
        <v>0</v>
      </c>
      <c r="M195" s="36" t="n">
        <f aca="false">ABS((K195-F195)/F195)</f>
        <v>0.102989166666667</v>
      </c>
    </row>
    <row r="196" customFormat="false" ht="15" hidden="false" customHeight="true" outlineLevel="0" collapsed="false">
      <c r="B196" s="106"/>
      <c r="C196" s="1" t="n">
        <v>11</v>
      </c>
      <c r="D196" s="34" t="n">
        <v>40</v>
      </c>
      <c r="E196" s="35" t="n">
        <v>3</v>
      </c>
      <c r="F196" s="35" t="n">
        <f aca="false">D196*E196</f>
        <v>120</v>
      </c>
      <c r="G196" s="35" t="n">
        <v>18</v>
      </c>
      <c r="H196" s="35" t="n">
        <v>120</v>
      </c>
      <c r="I196" s="35" t="n">
        <v>40</v>
      </c>
      <c r="J196" s="1" t="n">
        <v>40</v>
      </c>
      <c r="K196" s="35" t="n">
        <v>130.459</v>
      </c>
      <c r="L196" s="35" t="n">
        <f aca="false">ABS((J196-D196)/D196)</f>
        <v>0</v>
      </c>
      <c r="M196" s="36" t="n">
        <f aca="false">ABS((K196-F196)/F196)</f>
        <v>0.0871583333333334</v>
      </c>
    </row>
    <row r="197" customFormat="false" ht="15" hidden="false" customHeight="true" outlineLevel="0" collapsed="false">
      <c r="B197" s="106"/>
      <c r="C197" s="1" t="n">
        <v>12</v>
      </c>
      <c r="D197" s="34" t="n">
        <v>40</v>
      </c>
      <c r="E197" s="35" t="n">
        <v>3</v>
      </c>
      <c r="F197" s="35" t="n">
        <f aca="false">D197*E197</f>
        <v>120</v>
      </c>
      <c r="G197" s="35" t="n">
        <v>18</v>
      </c>
      <c r="H197" s="35" t="n">
        <v>120</v>
      </c>
      <c r="I197" s="35" t="n">
        <v>40</v>
      </c>
      <c r="J197" s="1" t="n">
        <v>41</v>
      </c>
      <c r="K197" s="35" t="n">
        <v>131.6567</v>
      </c>
      <c r="L197" s="35" t="n">
        <f aca="false">ABS((J197-D197)/D197)</f>
        <v>0.025</v>
      </c>
      <c r="M197" s="36" t="n">
        <f aca="false">ABS((K197-F197)/F197)</f>
        <v>0.0971391666666667</v>
      </c>
    </row>
    <row r="198" customFormat="false" ht="15" hidden="false" customHeight="true" outlineLevel="0" collapsed="false">
      <c r="B198" s="106"/>
      <c r="C198" s="1" t="n">
        <v>13</v>
      </c>
      <c r="D198" s="34" t="n">
        <v>40</v>
      </c>
      <c r="E198" s="35" t="n">
        <v>3</v>
      </c>
      <c r="F198" s="35" t="n">
        <f aca="false">D198*E198</f>
        <v>120</v>
      </c>
      <c r="G198" s="35" t="n">
        <v>18</v>
      </c>
      <c r="H198" s="35" t="n">
        <v>120</v>
      </c>
      <c r="I198" s="35" t="n">
        <v>40</v>
      </c>
      <c r="J198" s="1" t="n">
        <v>39</v>
      </c>
      <c r="K198" s="35" t="n">
        <v>128.3914</v>
      </c>
      <c r="L198" s="35" t="n">
        <f aca="false">ABS((J198-D198)/D198)</f>
        <v>0.025</v>
      </c>
      <c r="M198" s="36" t="n">
        <f aca="false">ABS((K198-F198)/F198)</f>
        <v>0.0699283333333334</v>
      </c>
    </row>
    <row r="199" customFormat="false" ht="15" hidden="false" customHeight="true" outlineLevel="0" collapsed="false">
      <c r="B199" s="106"/>
      <c r="C199" s="1" t="n">
        <v>14</v>
      </c>
      <c r="D199" s="34" t="n">
        <v>40</v>
      </c>
      <c r="E199" s="35" t="n">
        <v>3</v>
      </c>
      <c r="F199" s="35" t="n">
        <f aca="false">D199*E199</f>
        <v>120</v>
      </c>
      <c r="G199" s="35" t="n">
        <v>18</v>
      </c>
      <c r="H199" s="35" t="n">
        <v>120</v>
      </c>
      <c r="I199" s="35" t="n">
        <v>40</v>
      </c>
      <c r="J199" s="1" t="n">
        <v>40</v>
      </c>
      <c r="K199" s="35" t="n">
        <v>132.0504</v>
      </c>
      <c r="L199" s="35" t="n">
        <f aca="false">ABS((J199-D199)/D199)</f>
        <v>0</v>
      </c>
      <c r="M199" s="36" t="n">
        <f aca="false">ABS((K199-F199)/F199)</f>
        <v>0.10042</v>
      </c>
    </row>
    <row r="200" customFormat="false" ht="15" hidden="false" customHeight="true" outlineLevel="0" collapsed="false">
      <c r="B200" s="106"/>
      <c r="C200" s="1" t="n">
        <v>15</v>
      </c>
      <c r="D200" s="34" t="n">
        <v>40</v>
      </c>
      <c r="E200" s="35" t="n">
        <v>3</v>
      </c>
      <c r="F200" s="35" t="n">
        <f aca="false">D200*E200</f>
        <v>120</v>
      </c>
      <c r="G200" s="35" t="n">
        <v>18</v>
      </c>
      <c r="H200" s="35" t="n">
        <v>120</v>
      </c>
      <c r="I200" s="35" t="n">
        <v>40</v>
      </c>
      <c r="J200" s="1" t="n">
        <v>41</v>
      </c>
      <c r="K200" s="35" t="n">
        <v>132.4967</v>
      </c>
      <c r="L200" s="35" t="n">
        <f aca="false">ABS((J200-D200)/D200)</f>
        <v>0.025</v>
      </c>
      <c r="M200" s="36" t="n">
        <f aca="false">ABS((K200-F200)/F200)</f>
        <v>0.104139166666667</v>
      </c>
    </row>
    <row r="201" customFormat="false" ht="15" hidden="false" customHeight="true" outlineLevel="0" collapsed="false">
      <c r="B201" s="106"/>
      <c r="C201" s="108" t="s">
        <v>101</v>
      </c>
      <c r="D201" s="109" t="n">
        <f aca="false">SUM(D186:D200)</f>
        <v>600</v>
      </c>
      <c r="E201" s="110" t="s">
        <v>102</v>
      </c>
      <c r="F201" s="110" t="n">
        <f aca="false">SUM(F186:F200)</f>
        <v>1800</v>
      </c>
      <c r="G201" s="110" t="s">
        <v>102</v>
      </c>
      <c r="H201" s="110" t="s">
        <v>102</v>
      </c>
      <c r="I201" s="110" t="s">
        <v>102</v>
      </c>
      <c r="J201" s="109" t="n">
        <f aca="false">SUM(J186:J200)</f>
        <v>601</v>
      </c>
      <c r="K201" s="110" t="n">
        <f aca="false">SUM(K186:K200)</f>
        <v>1951.3244</v>
      </c>
      <c r="L201" s="63"/>
      <c r="M201" s="113"/>
    </row>
    <row r="202" customFormat="false" ht="15" hidden="false" customHeight="true" outlineLevel="0" collapsed="false">
      <c r="B202" s="106" t="s">
        <v>53</v>
      </c>
      <c r="C202" s="107" t="n">
        <v>1</v>
      </c>
      <c r="D202" s="34" t="n">
        <v>40</v>
      </c>
      <c r="E202" s="35" t="n">
        <v>3</v>
      </c>
      <c r="F202" s="35" t="n">
        <f aca="false">D202*E202</f>
        <v>120</v>
      </c>
      <c r="G202" s="35" t="n">
        <v>18</v>
      </c>
      <c r="H202" s="35" t="n">
        <v>120</v>
      </c>
      <c r="I202" s="35" t="n">
        <v>40</v>
      </c>
      <c r="J202" s="1" t="n">
        <v>40</v>
      </c>
      <c r="K202" s="35" t="n">
        <v>129.6214</v>
      </c>
      <c r="L202" s="35" t="n">
        <f aca="false">ABS((J202-D202)/D202)</f>
        <v>0</v>
      </c>
      <c r="M202" s="36" t="n">
        <f aca="false">ABS((K202-F202)/F202)</f>
        <v>0.0801783333333333</v>
      </c>
    </row>
    <row r="203" customFormat="false" ht="15" hidden="false" customHeight="true" outlineLevel="0" collapsed="false">
      <c r="B203" s="106"/>
      <c r="C203" s="1" t="n">
        <v>2</v>
      </c>
      <c r="D203" s="34" t="n">
        <v>80</v>
      </c>
      <c r="E203" s="35" t="n">
        <v>3</v>
      </c>
      <c r="F203" s="35" t="n">
        <f aca="false">D203*E203</f>
        <v>240</v>
      </c>
      <c r="G203" s="35" t="n">
        <v>18</v>
      </c>
      <c r="H203" s="35" t="n">
        <v>120</v>
      </c>
      <c r="I203" s="35" t="n">
        <v>40</v>
      </c>
      <c r="J203" s="1" t="n">
        <v>80</v>
      </c>
      <c r="K203" s="35" t="n">
        <v>259.5422</v>
      </c>
      <c r="L203" s="35" t="n">
        <f aca="false">ABS((J203-D203)/D203)</f>
        <v>0</v>
      </c>
      <c r="M203" s="36" t="n">
        <f aca="false">ABS((K203-F203)/F203)</f>
        <v>0.0814258333333333</v>
      </c>
    </row>
    <row r="204" customFormat="false" ht="15" hidden="false" customHeight="true" outlineLevel="0" collapsed="false">
      <c r="B204" s="106"/>
      <c r="C204" s="1" t="n">
        <v>3</v>
      </c>
      <c r="D204" s="34" t="n">
        <v>80</v>
      </c>
      <c r="E204" s="35" t="n">
        <v>3</v>
      </c>
      <c r="F204" s="35" t="n">
        <f aca="false">D204*E204</f>
        <v>240</v>
      </c>
      <c r="G204" s="35" t="n">
        <v>18</v>
      </c>
      <c r="H204" s="35" t="n">
        <v>120</v>
      </c>
      <c r="I204" s="35" t="n">
        <v>40</v>
      </c>
      <c r="J204" s="1" t="n">
        <v>80</v>
      </c>
      <c r="K204" s="35" t="n">
        <v>258.3287</v>
      </c>
      <c r="L204" s="35" t="n">
        <f aca="false">ABS((J204-D204)/D204)</f>
        <v>0</v>
      </c>
      <c r="M204" s="36" t="n">
        <f aca="false">ABS((K204-F204)/F204)</f>
        <v>0.0763695833333335</v>
      </c>
    </row>
    <row r="205" customFormat="false" ht="15" hidden="false" customHeight="true" outlineLevel="0" collapsed="false">
      <c r="B205" s="106"/>
      <c r="C205" s="1" t="n">
        <v>4</v>
      </c>
      <c r="D205" s="34" t="n">
        <v>40</v>
      </c>
      <c r="E205" s="35" t="n">
        <v>3</v>
      </c>
      <c r="F205" s="35" t="n">
        <f aca="false">D205*E205</f>
        <v>120</v>
      </c>
      <c r="G205" s="35" t="n">
        <v>18</v>
      </c>
      <c r="H205" s="35" t="n">
        <v>120</v>
      </c>
      <c r="I205" s="35" t="n">
        <v>40</v>
      </c>
      <c r="J205" s="1" t="n">
        <v>40</v>
      </c>
      <c r="K205" s="35" t="n">
        <v>126.9435</v>
      </c>
      <c r="L205" s="35" t="n">
        <f aca="false">ABS((J205-D205)/D205)</f>
        <v>0</v>
      </c>
      <c r="M205" s="36" t="n">
        <f aca="false">ABS((K205-F205)/F205)</f>
        <v>0.0578625</v>
      </c>
    </row>
    <row r="206" customFormat="false" ht="15" hidden="false" customHeight="true" outlineLevel="0" collapsed="false">
      <c r="B206" s="106"/>
      <c r="C206" s="1" t="n">
        <v>5</v>
      </c>
      <c r="D206" s="34" t="n">
        <v>160</v>
      </c>
      <c r="E206" s="35" t="n">
        <v>3</v>
      </c>
      <c r="F206" s="35" t="n">
        <f aca="false">D206*E206</f>
        <v>480</v>
      </c>
      <c r="G206" s="35" t="n">
        <v>18</v>
      </c>
      <c r="H206" s="35" t="n">
        <v>120</v>
      </c>
      <c r="I206" s="35" t="n">
        <v>40</v>
      </c>
      <c r="J206" s="1" t="n">
        <v>160</v>
      </c>
      <c r="K206" s="35" t="n">
        <v>512.2895</v>
      </c>
      <c r="L206" s="35" t="n">
        <f aca="false">ABS((J206-D206)/D206)</f>
        <v>0</v>
      </c>
      <c r="M206" s="36" t="n">
        <f aca="false">ABS((K206-F206)/F206)</f>
        <v>0.0672697916666666</v>
      </c>
    </row>
    <row r="207" customFormat="false" ht="15" hidden="false" customHeight="true" outlineLevel="0" collapsed="false">
      <c r="B207" s="106"/>
      <c r="C207" s="1" t="n">
        <v>6</v>
      </c>
      <c r="D207" s="34" t="n">
        <v>160</v>
      </c>
      <c r="E207" s="35" t="n">
        <v>3</v>
      </c>
      <c r="F207" s="35" t="n">
        <f aca="false">D207*E207</f>
        <v>480</v>
      </c>
      <c r="G207" s="35" t="n">
        <v>18</v>
      </c>
      <c r="H207" s="35" t="n">
        <v>120</v>
      </c>
      <c r="I207" s="35" t="n">
        <v>40</v>
      </c>
      <c r="J207" s="1" t="n">
        <v>159</v>
      </c>
      <c r="K207" s="35" t="n">
        <v>514.5016</v>
      </c>
      <c r="L207" s="35" t="n">
        <f aca="false">ABS((J207-D207)/D207)</f>
        <v>0.00625</v>
      </c>
      <c r="M207" s="36" t="n">
        <f aca="false">ABS((K207-F207)/F207)</f>
        <v>0.0718783333333335</v>
      </c>
    </row>
    <row r="208" customFormat="false" ht="15" hidden="false" customHeight="true" outlineLevel="0" collapsed="false">
      <c r="B208" s="106"/>
      <c r="C208" s="1" t="n">
        <v>7</v>
      </c>
      <c r="D208" s="34" t="n">
        <v>90</v>
      </c>
      <c r="E208" s="35" t="n">
        <v>3</v>
      </c>
      <c r="F208" s="35" t="n">
        <f aca="false">D208*E208</f>
        <v>270</v>
      </c>
      <c r="G208" s="35" t="n">
        <v>18</v>
      </c>
      <c r="H208" s="35" t="n">
        <v>120</v>
      </c>
      <c r="I208" s="35" t="n">
        <v>40</v>
      </c>
      <c r="J208" s="1" t="n">
        <v>85</v>
      </c>
      <c r="K208" s="35" t="n">
        <v>274.5489</v>
      </c>
      <c r="L208" s="35" t="n">
        <f aca="false">ABS((J208-D208)/D208)</f>
        <v>0.0555555555555556</v>
      </c>
      <c r="M208" s="36" t="n">
        <f aca="false">ABS((K208-F208)/F208)</f>
        <v>0.0168477777777778</v>
      </c>
    </row>
    <row r="209" customFormat="false" ht="15" hidden="false" customHeight="true" outlineLevel="0" collapsed="false">
      <c r="B209" s="106"/>
      <c r="C209" s="1" t="n">
        <v>8</v>
      </c>
      <c r="D209" s="34" t="n">
        <v>176</v>
      </c>
      <c r="E209" s="35" t="n">
        <v>3</v>
      </c>
      <c r="F209" s="35" t="n">
        <f aca="false">D209*E209</f>
        <v>528</v>
      </c>
      <c r="G209" s="35" t="n">
        <v>18</v>
      </c>
      <c r="H209" s="35" t="n">
        <v>120</v>
      </c>
      <c r="I209" s="35" t="n">
        <v>40</v>
      </c>
      <c r="J209" s="1" t="n">
        <v>174</v>
      </c>
      <c r="K209" s="35" t="n">
        <v>560.3296</v>
      </c>
      <c r="L209" s="35" t="n">
        <f aca="false">ABS((J209-D209)/D209)</f>
        <v>0.0113636363636364</v>
      </c>
      <c r="M209" s="36" t="n">
        <f aca="false">ABS((K209-F209)/F209)</f>
        <v>0.0612303030303031</v>
      </c>
    </row>
    <row r="210" customFormat="false" ht="15" hidden="false" customHeight="true" outlineLevel="0" collapsed="false">
      <c r="B210" s="106"/>
      <c r="C210" s="108" t="s">
        <v>101</v>
      </c>
      <c r="D210" s="109" t="n">
        <f aca="false">SUM(D202:D209)</f>
        <v>826</v>
      </c>
      <c r="E210" s="110" t="s">
        <v>102</v>
      </c>
      <c r="F210" s="110" t="n">
        <f aca="false">SUM(F202:F209)</f>
        <v>2478</v>
      </c>
      <c r="G210" s="110" t="s">
        <v>102</v>
      </c>
      <c r="H210" s="110" t="s">
        <v>102</v>
      </c>
      <c r="I210" s="110" t="s">
        <v>102</v>
      </c>
      <c r="J210" s="109" t="n">
        <f aca="false">SUM(J202:J209)</f>
        <v>818</v>
      </c>
      <c r="K210" s="110" t="n">
        <f aca="false">SUM(K202:K209)</f>
        <v>2636.1054</v>
      </c>
      <c r="L210" s="63"/>
      <c r="M210" s="64"/>
    </row>
    <row r="214" customFormat="false" ht="15" hidden="false" customHeight="true" outlineLevel="0" collapsed="false">
      <c r="B214" s="106" t="s">
        <v>54</v>
      </c>
      <c r="C214" s="107" t="n">
        <v>1</v>
      </c>
      <c r="D214" s="100" t="n">
        <v>100</v>
      </c>
      <c r="E214" s="101" t="n">
        <v>3</v>
      </c>
      <c r="F214" s="101" t="n">
        <f aca="false">D214*E214</f>
        <v>300</v>
      </c>
      <c r="G214" s="101" t="n">
        <v>18</v>
      </c>
      <c r="H214" s="101" t="n">
        <v>120</v>
      </c>
      <c r="I214" s="101" t="n">
        <v>40</v>
      </c>
      <c r="J214" s="107" t="n">
        <v>97</v>
      </c>
      <c r="K214" s="101" t="n">
        <v>299.0495</v>
      </c>
      <c r="L214" s="101" t="n">
        <f aca="false">ABS((J214-D214)/D214)</f>
        <v>0.03</v>
      </c>
      <c r="M214" s="80" t="n">
        <f aca="false">ABS((K214-F214)/F214)</f>
        <v>0.00316833333333326</v>
      </c>
    </row>
    <row r="215" customFormat="false" ht="15" hidden="false" customHeight="true" outlineLevel="0" collapsed="false">
      <c r="B215" s="106"/>
      <c r="C215" s="1" t="n">
        <v>2</v>
      </c>
      <c r="D215" s="34" t="n">
        <v>100</v>
      </c>
      <c r="E215" s="35" t="n">
        <v>3</v>
      </c>
      <c r="F215" s="35" t="n">
        <f aca="false">D215*E215</f>
        <v>300</v>
      </c>
      <c r="G215" s="35" t="n">
        <v>18</v>
      </c>
      <c r="H215" s="35" t="n">
        <v>120</v>
      </c>
      <c r="I215" s="35" t="n">
        <v>40</v>
      </c>
      <c r="J215" s="1" t="n">
        <v>67</v>
      </c>
      <c r="K215" s="35" t="n">
        <v>204.9101</v>
      </c>
      <c r="L215" s="35" t="n">
        <f aca="false">ABS((J215-D215)/D215)</f>
        <v>0.33</v>
      </c>
      <c r="M215" s="36" t="n">
        <f aca="false">ABS((K215-F215)/F215)</f>
        <v>0.316966333333333</v>
      </c>
    </row>
    <row r="216" customFormat="false" ht="15" hidden="false" customHeight="true" outlineLevel="0" collapsed="false">
      <c r="B216" s="106"/>
      <c r="C216" s="1" t="n">
        <v>3</v>
      </c>
      <c r="D216" s="34" t="n">
        <v>100</v>
      </c>
      <c r="E216" s="35" t="n">
        <v>3</v>
      </c>
      <c r="F216" s="35" t="n">
        <f aca="false">D216*E216</f>
        <v>300</v>
      </c>
      <c r="G216" s="35" t="n">
        <v>18</v>
      </c>
      <c r="H216" s="35" t="n">
        <v>120</v>
      </c>
      <c r="I216" s="35" t="n">
        <v>40</v>
      </c>
      <c r="J216" s="1" t="n">
        <v>83</v>
      </c>
      <c r="K216" s="35" t="n">
        <v>253.6615</v>
      </c>
      <c r="L216" s="35" t="n">
        <f aca="false">ABS((J216-D216)/D216)</f>
        <v>0.17</v>
      </c>
      <c r="M216" s="36" t="n">
        <f aca="false">ABS((K216-F216)/F216)</f>
        <v>0.154461666666667</v>
      </c>
    </row>
    <row r="217" customFormat="false" ht="15" hidden="false" customHeight="true" outlineLevel="0" collapsed="false">
      <c r="B217" s="106"/>
      <c r="C217" s="1" t="n">
        <v>4</v>
      </c>
      <c r="D217" s="34" t="n">
        <v>100</v>
      </c>
      <c r="E217" s="35" t="n">
        <v>3</v>
      </c>
      <c r="F217" s="35" t="n">
        <f aca="false">D217*E217</f>
        <v>300</v>
      </c>
      <c r="G217" s="35" t="n">
        <v>18</v>
      </c>
      <c r="H217" s="35" t="n">
        <v>120</v>
      </c>
      <c r="I217" s="35" t="n">
        <v>40</v>
      </c>
      <c r="J217" s="1" t="n">
        <v>13</v>
      </c>
      <c r="K217" s="35" t="n">
        <v>39.7334</v>
      </c>
      <c r="L217" s="35" t="n">
        <f aca="false">ABS((J217-D217)/D217)</f>
        <v>0.87</v>
      </c>
      <c r="M217" s="36" t="n">
        <f aca="false">ABS((K217-F217)/F217)</f>
        <v>0.867555333333333</v>
      </c>
    </row>
    <row r="218" customFormat="false" ht="15" hidden="false" customHeight="true" outlineLevel="0" collapsed="false">
      <c r="B218" s="106"/>
      <c r="C218" s="108" t="s">
        <v>101</v>
      </c>
      <c r="D218" s="109" t="n">
        <f aca="false">SUM(D214:D217)</f>
        <v>400</v>
      </c>
      <c r="E218" s="110" t="s">
        <v>102</v>
      </c>
      <c r="F218" s="110" t="n">
        <f aca="false">SUM(F214:F217)</f>
        <v>1200</v>
      </c>
      <c r="G218" s="110" t="s">
        <v>102</v>
      </c>
      <c r="H218" s="110" t="s">
        <v>102</v>
      </c>
      <c r="I218" s="110" t="s">
        <v>102</v>
      </c>
      <c r="J218" s="109" t="n">
        <f aca="false">SUM(J214:J217)</f>
        <v>260</v>
      </c>
      <c r="K218" s="110" t="n">
        <f aca="false">SUM(K214:K217)</f>
        <v>797.3545</v>
      </c>
      <c r="L218" s="63"/>
      <c r="M218" s="64"/>
    </row>
    <row r="219" customFormat="false" ht="15" hidden="false" customHeight="true" outlineLevel="0" collapsed="false">
      <c r="B219" s="106" t="s">
        <v>55</v>
      </c>
      <c r="C219" s="107" t="n">
        <v>1</v>
      </c>
      <c r="D219" s="100" t="n">
        <v>80</v>
      </c>
      <c r="E219" s="101" t="n">
        <v>3</v>
      </c>
      <c r="F219" s="101" t="n">
        <f aca="false">D219*E219</f>
        <v>240</v>
      </c>
      <c r="G219" s="101" t="n">
        <v>18</v>
      </c>
      <c r="H219" s="101" t="n">
        <v>120</v>
      </c>
      <c r="I219" s="101" t="n">
        <v>40</v>
      </c>
      <c r="J219" s="107" t="n">
        <v>1</v>
      </c>
      <c r="K219" s="101" t="n">
        <v>0.4032</v>
      </c>
      <c r="L219" s="101" t="n">
        <f aca="false">ABS((J219-D219)/D219)</f>
        <v>0.9875</v>
      </c>
      <c r="M219" s="80" t="n">
        <f aca="false">ABS((K219-F219)/F219)</f>
        <v>0.99832</v>
      </c>
    </row>
    <row r="220" customFormat="false" ht="15" hidden="false" customHeight="true" outlineLevel="0" collapsed="false">
      <c r="B220" s="106"/>
      <c r="C220" s="1" t="n">
        <v>2</v>
      </c>
      <c r="D220" s="34" t="n">
        <v>80</v>
      </c>
      <c r="E220" s="35" t="n">
        <v>3</v>
      </c>
      <c r="F220" s="35" t="n">
        <f aca="false">D220*E220</f>
        <v>240</v>
      </c>
      <c r="G220" s="35" t="n">
        <v>18</v>
      </c>
      <c r="H220" s="35" t="n">
        <v>120</v>
      </c>
      <c r="I220" s="35" t="n">
        <v>40</v>
      </c>
      <c r="J220" s="1" t="n">
        <v>0</v>
      </c>
      <c r="K220" s="35" t="n">
        <v>0</v>
      </c>
      <c r="L220" s="35" t="n">
        <f aca="false">ABS((J220-D220)/D220)</f>
        <v>1</v>
      </c>
      <c r="M220" s="36" t="n">
        <f aca="false">ABS((K220-F220)/F220)</f>
        <v>1</v>
      </c>
    </row>
    <row r="221" customFormat="false" ht="15" hidden="false" customHeight="true" outlineLevel="0" collapsed="false">
      <c r="B221" s="106"/>
      <c r="C221" s="1" t="n">
        <v>3</v>
      </c>
      <c r="D221" s="34" t="n">
        <v>80</v>
      </c>
      <c r="E221" s="35" t="n">
        <v>3</v>
      </c>
      <c r="F221" s="35" t="n">
        <f aca="false">D221*E221</f>
        <v>240</v>
      </c>
      <c r="G221" s="35" t="n">
        <v>18</v>
      </c>
      <c r="H221" s="35" t="n">
        <v>120</v>
      </c>
      <c r="I221" s="35" t="n">
        <v>40</v>
      </c>
      <c r="J221" s="1" t="n">
        <v>0</v>
      </c>
      <c r="K221" s="35" t="n">
        <v>0</v>
      </c>
      <c r="L221" s="35" t="n">
        <f aca="false">ABS((J221-D221)/D221)</f>
        <v>1</v>
      </c>
      <c r="M221" s="36" t="n">
        <f aca="false">ABS((K221-F221)/F221)</f>
        <v>1</v>
      </c>
    </row>
    <row r="222" customFormat="false" ht="15" hidden="false" customHeight="true" outlineLevel="0" collapsed="false">
      <c r="B222" s="106"/>
      <c r="C222" s="114" t="s">
        <v>101</v>
      </c>
      <c r="D222" s="109" t="n">
        <f aca="false">SUM(D219:D221)</f>
        <v>240</v>
      </c>
      <c r="E222" s="110" t="s">
        <v>102</v>
      </c>
      <c r="F222" s="110" t="n">
        <f aca="false">SUM(F219:F221)</f>
        <v>720</v>
      </c>
      <c r="G222" s="110" t="s">
        <v>102</v>
      </c>
      <c r="H222" s="110" t="s">
        <v>102</v>
      </c>
      <c r="I222" s="110" t="s">
        <v>102</v>
      </c>
      <c r="J222" s="109" t="n">
        <f aca="false">SUM(J219:J221)</f>
        <v>1</v>
      </c>
      <c r="K222" s="110"/>
      <c r="L222" s="63"/>
      <c r="M222" s="64"/>
    </row>
    <row r="223" customFormat="false" ht="15" hidden="false" customHeight="true" outlineLevel="0" collapsed="false">
      <c r="B223" s="106" t="s">
        <v>56</v>
      </c>
      <c r="C223" s="107" t="n">
        <v>1</v>
      </c>
      <c r="D223" s="100" t="n">
        <v>140</v>
      </c>
      <c r="E223" s="101" t="n">
        <v>3</v>
      </c>
      <c r="F223" s="101" t="n">
        <f aca="false">D223*E223</f>
        <v>420</v>
      </c>
      <c r="G223" s="101" t="n">
        <v>18</v>
      </c>
      <c r="H223" s="101" t="n">
        <v>120</v>
      </c>
      <c r="I223" s="101" t="n">
        <v>40</v>
      </c>
      <c r="J223" s="107" t="n">
        <v>23</v>
      </c>
      <c r="K223" s="101" t="n">
        <v>18.7398</v>
      </c>
      <c r="L223" s="101" t="n">
        <f aca="false">ABS((J223-D223)/D223)</f>
        <v>0.835714285714286</v>
      </c>
      <c r="M223" s="36" t="n">
        <f aca="false">ABS((K223-F223)/F223)</f>
        <v>0.955381428571429</v>
      </c>
    </row>
    <row r="224" customFormat="false" ht="15" hidden="false" customHeight="true" outlineLevel="0" collapsed="false">
      <c r="B224" s="106"/>
      <c r="C224" s="115" t="n">
        <v>2</v>
      </c>
      <c r="D224" s="35" t="n">
        <v>120</v>
      </c>
      <c r="E224" s="35" t="n">
        <v>3</v>
      </c>
      <c r="F224" s="35" t="n">
        <f aca="false">D224*E224</f>
        <v>360</v>
      </c>
      <c r="G224" s="35" t="n">
        <v>18</v>
      </c>
      <c r="H224" s="35" t="n">
        <v>120</v>
      </c>
      <c r="I224" s="35" t="n">
        <v>40</v>
      </c>
      <c r="J224" s="1" t="n">
        <v>32</v>
      </c>
      <c r="K224" s="35" t="n">
        <v>90.494</v>
      </c>
      <c r="L224" s="35" t="n">
        <f aca="false">ABS((J224-D224)/D224)</f>
        <v>0.733333333333333</v>
      </c>
      <c r="M224" s="36" t="n">
        <f aca="false">ABS((K224-F224)/F224)</f>
        <v>0.748627777777778</v>
      </c>
    </row>
    <row r="225" customFormat="false" ht="15" hidden="false" customHeight="true" outlineLevel="0" collapsed="false">
      <c r="B225" s="106"/>
      <c r="C225" s="1" t="n">
        <v>3</v>
      </c>
      <c r="D225" s="34" t="n">
        <v>130</v>
      </c>
      <c r="E225" s="35" t="n">
        <v>3</v>
      </c>
      <c r="F225" s="35" t="n">
        <f aca="false">D225*E225</f>
        <v>390</v>
      </c>
      <c r="G225" s="35" t="n">
        <v>18</v>
      </c>
      <c r="H225" s="35" t="n">
        <v>120</v>
      </c>
      <c r="I225" s="35" t="n">
        <v>40</v>
      </c>
      <c r="J225" s="1" t="n">
        <v>30</v>
      </c>
      <c r="K225" s="35" t="n">
        <v>88.5408</v>
      </c>
      <c r="L225" s="35" t="n">
        <f aca="false">ABS((J225-D225)/D225)</f>
        <v>0.769230769230769</v>
      </c>
      <c r="M225" s="36" t="n">
        <f aca="false">ABS((K225-F225)/F225)</f>
        <v>0.772972307692308</v>
      </c>
    </row>
    <row r="226" customFormat="false" ht="15" hidden="false" customHeight="true" outlineLevel="0" collapsed="false">
      <c r="B226" s="106"/>
      <c r="C226" s="1" t="n">
        <v>4</v>
      </c>
      <c r="D226" s="34" t="n">
        <v>130</v>
      </c>
      <c r="E226" s="35" t="n">
        <v>3</v>
      </c>
      <c r="F226" s="35" t="n">
        <f aca="false">D226*E226</f>
        <v>390</v>
      </c>
      <c r="G226" s="35" t="n">
        <v>18</v>
      </c>
      <c r="H226" s="35" t="n">
        <v>120</v>
      </c>
      <c r="I226" s="35" t="n">
        <v>40</v>
      </c>
      <c r="J226" s="1" t="n">
        <v>34</v>
      </c>
      <c r="K226" s="35" t="n">
        <v>98.6325</v>
      </c>
      <c r="L226" s="35" t="n">
        <f aca="false">ABS((J226-D226)/D226)</f>
        <v>0.738461538461539</v>
      </c>
      <c r="M226" s="36" t="n">
        <f aca="false">ABS((K226-F226)/F226)</f>
        <v>0.747096153846154</v>
      </c>
    </row>
    <row r="227" customFormat="false" ht="15" hidden="false" customHeight="true" outlineLevel="0" collapsed="false">
      <c r="B227" s="106"/>
      <c r="C227" s="1" t="n">
        <v>5</v>
      </c>
      <c r="D227" s="34" t="n">
        <v>130</v>
      </c>
      <c r="E227" s="35" t="n">
        <v>3</v>
      </c>
      <c r="F227" s="35" t="n">
        <f aca="false">D227*E227</f>
        <v>390</v>
      </c>
      <c r="G227" s="35" t="n">
        <v>18</v>
      </c>
      <c r="H227" s="35" t="n">
        <v>120</v>
      </c>
      <c r="I227" s="35" t="n">
        <v>40</v>
      </c>
      <c r="J227" s="1" t="n">
        <v>31</v>
      </c>
      <c r="K227" s="35" t="n">
        <v>88.9887</v>
      </c>
      <c r="L227" s="35" t="n">
        <f aca="false">ABS((J227-D227)/D227)</f>
        <v>0.761538461538462</v>
      </c>
      <c r="M227" s="36" t="n">
        <f aca="false">ABS((K227-F227)/F227)</f>
        <v>0.771823846153846</v>
      </c>
    </row>
    <row r="228" customFormat="false" ht="15" hidden="false" customHeight="true" outlineLevel="0" collapsed="false">
      <c r="B228" s="106"/>
      <c r="C228" s="114" t="s">
        <v>101</v>
      </c>
      <c r="D228" s="109" t="n">
        <f aca="false">SUM(D223:D227)</f>
        <v>650</v>
      </c>
      <c r="E228" s="110" t="s">
        <v>102</v>
      </c>
      <c r="F228" s="110" t="n">
        <f aca="false">SUM(F223:F227)</f>
        <v>1950</v>
      </c>
      <c r="G228" s="110" t="s">
        <v>102</v>
      </c>
      <c r="H228" s="110" t="s">
        <v>102</v>
      </c>
      <c r="I228" s="110" t="s">
        <v>102</v>
      </c>
      <c r="J228" s="109" t="n">
        <f aca="false">SUM(J223:J227)</f>
        <v>150</v>
      </c>
      <c r="K228" s="110"/>
      <c r="L228" s="63"/>
      <c r="M228" s="64"/>
    </row>
    <row r="229" customFormat="false" ht="15" hidden="false" customHeight="true" outlineLevel="0" collapsed="false">
      <c r="B229" s="106" t="s">
        <v>57</v>
      </c>
      <c r="C229" s="107" t="n">
        <v>1</v>
      </c>
      <c r="D229" s="34" t="n">
        <v>80</v>
      </c>
      <c r="E229" s="35" t="n">
        <v>3</v>
      </c>
      <c r="F229" s="35" t="n">
        <f aca="false">D229*E229</f>
        <v>240</v>
      </c>
      <c r="G229" s="35" t="n">
        <v>18</v>
      </c>
      <c r="H229" s="35" t="n">
        <v>120</v>
      </c>
      <c r="I229" s="35" t="n">
        <v>40</v>
      </c>
      <c r="J229" s="1" t="n">
        <v>21</v>
      </c>
      <c r="K229" s="35" t="n">
        <v>17.2341</v>
      </c>
      <c r="L229" s="35" t="n">
        <f aca="false">ABS((J229-D229)/D229)</f>
        <v>0.7375</v>
      </c>
      <c r="M229" s="36" t="n">
        <f aca="false">ABS((K229-F229)/F229)</f>
        <v>0.92819125</v>
      </c>
    </row>
    <row r="230" customFormat="false" ht="15" hidden="false" customHeight="true" outlineLevel="0" collapsed="false">
      <c r="B230" s="106"/>
      <c r="C230" s="1" t="n">
        <v>2</v>
      </c>
      <c r="D230" s="34" t="n">
        <v>80</v>
      </c>
      <c r="E230" s="35" t="n">
        <v>3</v>
      </c>
      <c r="F230" s="35" t="n">
        <f aca="false">D230*E230</f>
        <v>240</v>
      </c>
      <c r="G230" s="35" t="n">
        <v>18</v>
      </c>
      <c r="H230" s="35" t="n">
        <v>120</v>
      </c>
      <c r="I230" s="35" t="n">
        <v>40</v>
      </c>
      <c r="J230" s="1" t="n">
        <v>53</v>
      </c>
      <c r="K230" s="35" t="n">
        <v>134.1445</v>
      </c>
      <c r="L230" s="35" t="n">
        <f aca="false">ABS((J230-D230)/D230)</f>
        <v>0.3375</v>
      </c>
      <c r="M230" s="36" t="n">
        <f aca="false">ABS((K230-F230)/F230)</f>
        <v>0.441064583333333</v>
      </c>
    </row>
    <row r="231" customFormat="false" ht="15" hidden="false" customHeight="true" outlineLevel="0" collapsed="false">
      <c r="B231" s="106"/>
      <c r="C231" s="1" t="n">
        <v>3</v>
      </c>
      <c r="D231" s="34" t="n">
        <v>80</v>
      </c>
      <c r="E231" s="35" t="n">
        <v>3</v>
      </c>
      <c r="F231" s="35" t="n">
        <f aca="false">D231*E231</f>
        <v>240</v>
      </c>
      <c r="G231" s="35" t="n">
        <v>18</v>
      </c>
      <c r="H231" s="35" t="n">
        <v>120</v>
      </c>
      <c r="I231" s="35" t="n">
        <v>40</v>
      </c>
      <c r="J231" s="1" t="n">
        <v>53</v>
      </c>
      <c r="K231" s="35" t="n">
        <v>142.3407</v>
      </c>
      <c r="L231" s="35" t="n">
        <f aca="false">ABS((J231-D231)/D231)</f>
        <v>0.3375</v>
      </c>
      <c r="M231" s="36" t="n">
        <f aca="false">ABS((K231-F231)/F231)</f>
        <v>0.40691375</v>
      </c>
    </row>
    <row r="232" customFormat="false" ht="15" hidden="false" customHeight="true" outlineLevel="0" collapsed="false">
      <c r="B232" s="106"/>
      <c r="C232" s="1" t="n">
        <v>4</v>
      </c>
      <c r="D232" s="34" t="n">
        <v>80</v>
      </c>
      <c r="E232" s="35" t="n">
        <v>3</v>
      </c>
      <c r="F232" s="35" t="n">
        <f aca="false">D232*E232</f>
        <v>240</v>
      </c>
      <c r="G232" s="35" t="n">
        <v>18</v>
      </c>
      <c r="H232" s="35" t="n">
        <v>120</v>
      </c>
      <c r="I232" s="35" t="n">
        <v>40</v>
      </c>
      <c r="J232" s="1" t="n">
        <v>55</v>
      </c>
      <c r="K232" s="35" t="n">
        <v>148.405</v>
      </c>
      <c r="L232" s="35" t="n">
        <f aca="false">ABS((J232-D232)/D232)</f>
        <v>0.3125</v>
      </c>
      <c r="M232" s="36" t="n">
        <f aca="false">ABS((K232-F232)/F232)</f>
        <v>0.381645833333333</v>
      </c>
    </row>
    <row r="233" customFormat="false" ht="15" hidden="false" customHeight="true" outlineLevel="0" collapsed="false">
      <c r="B233" s="106"/>
      <c r="C233" s="1" t="n">
        <v>5</v>
      </c>
      <c r="D233" s="34" t="n">
        <v>80</v>
      </c>
      <c r="E233" s="35" t="n">
        <v>3</v>
      </c>
      <c r="F233" s="35" t="n">
        <f aca="false">D233*E233</f>
        <v>240</v>
      </c>
      <c r="G233" s="35" t="n">
        <v>18</v>
      </c>
      <c r="H233" s="35" t="n">
        <v>120</v>
      </c>
      <c r="I233" s="35" t="n">
        <v>40</v>
      </c>
      <c r="J233" s="1" t="n">
        <v>34</v>
      </c>
      <c r="K233" s="35" t="n">
        <v>40.4091</v>
      </c>
      <c r="L233" s="35" t="n">
        <f aca="false">ABS((J233-D233)/D233)</f>
        <v>0.575</v>
      </c>
      <c r="M233" s="36" t="n">
        <f aca="false">ABS((K233-F233)/F233)</f>
        <v>0.83162875</v>
      </c>
    </row>
    <row r="234" customFormat="false" ht="15" hidden="false" customHeight="true" outlineLevel="0" collapsed="false">
      <c r="B234" s="106"/>
      <c r="C234" s="1" t="n">
        <v>6</v>
      </c>
      <c r="D234" s="34" t="n">
        <v>80</v>
      </c>
      <c r="E234" s="35" t="n">
        <v>3</v>
      </c>
      <c r="F234" s="35" t="n">
        <f aca="false">D234*E234</f>
        <v>240</v>
      </c>
      <c r="G234" s="35" t="n">
        <v>18</v>
      </c>
      <c r="H234" s="35" t="n">
        <v>120</v>
      </c>
      <c r="I234" s="35" t="n">
        <v>40</v>
      </c>
      <c r="J234" s="1" t="n">
        <v>57</v>
      </c>
      <c r="K234" s="35" t="n">
        <v>151.642</v>
      </c>
      <c r="L234" s="35" t="n">
        <f aca="false">ABS((J234-D234)/D234)</f>
        <v>0.2875</v>
      </c>
      <c r="M234" s="36" t="n">
        <f aca="false">ABS((K234-F234)/F234)</f>
        <v>0.368158333333333</v>
      </c>
    </row>
    <row r="235" customFormat="false" ht="15" hidden="false" customHeight="true" outlineLevel="0" collapsed="false">
      <c r="B235" s="106"/>
      <c r="C235" s="1" t="n">
        <v>7</v>
      </c>
      <c r="D235" s="34" t="n">
        <v>80</v>
      </c>
      <c r="E235" s="35" t="n">
        <v>3</v>
      </c>
      <c r="F235" s="35" t="n">
        <f aca="false">D235*E235</f>
        <v>240</v>
      </c>
      <c r="G235" s="35" t="n">
        <v>18</v>
      </c>
      <c r="H235" s="35" t="n">
        <v>120</v>
      </c>
      <c r="I235" s="35" t="n">
        <v>40</v>
      </c>
      <c r="J235" s="1" t="n">
        <v>53</v>
      </c>
      <c r="K235" s="35" t="n">
        <v>153.8921</v>
      </c>
      <c r="L235" s="35" t="n">
        <f aca="false">ABS((J235-D235)/D235)</f>
        <v>0.3375</v>
      </c>
      <c r="M235" s="36" t="n">
        <f aca="false">ABS((K235-F235)/F235)</f>
        <v>0.358782916666667</v>
      </c>
    </row>
    <row r="236" customFormat="false" ht="15" hidden="false" customHeight="true" outlineLevel="0" collapsed="false">
      <c r="B236" s="106"/>
      <c r="C236" s="108" t="s">
        <v>101</v>
      </c>
      <c r="D236" s="109" t="n">
        <f aca="false">SUM(D229:D235)</f>
        <v>560</v>
      </c>
      <c r="E236" s="110" t="s">
        <v>102</v>
      </c>
      <c r="F236" s="110" t="n">
        <f aca="false">SUM(F229:F235)</f>
        <v>1680</v>
      </c>
      <c r="G236" s="110" t="s">
        <v>102</v>
      </c>
      <c r="H236" s="110" t="s">
        <v>102</v>
      </c>
      <c r="I236" s="110" t="s">
        <v>102</v>
      </c>
      <c r="J236" s="109" t="n">
        <f aca="false">SUM(J229:J235)</f>
        <v>326</v>
      </c>
      <c r="K236" s="110" t="n">
        <f aca="false">SUM(K229:K235)</f>
        <v>788.0675</v>
      </c>
      <c r="L236" s="63"/>
      <c r="M236" s="64"/>
    </row>
    <row r="237" customFormat="false" ht="15" hidden="false" customHeight="true" outlineLevel="0" collapsed="false">
      <c r="B237" s="106" t="s">
        <v>50</v>
      </c>
      <c r="C237" s="107" t="n">
        <v>1</v>
      </c>
      <c r="D237" s="34" t="n">
        <v>40</v>
      </c>
      <c r="E237" s="35" t="n">
        <v>3</v>
      </c>
      <c r="F237" s="35" t="n">
        <f aca="false">D237*E237</f>
        <v>120</v>
      </c>
      <c r="G237" s="35" t="n">
        <v>18</v>
      </c>
      <c r="H237" s="35" t="n">
        <v>120</v>
      </c>
      <c r="I237" s="35" t="n">
        <v>40</v>
      </c>
      <c r="J237" s="1" t="n">
        <v>40</v>
      </c>
      <c r="K237" s="35" t="n">
        <v>128.7469</v>
      </c>
      <c r="L237" s="35" t="n">
        <f aca="false">ABS((J237-D237)/D237)</f>
        <v>0</v>
      </c>
      <c r="M237" s="36" t="n">
        <f aca="false">ABS((K237-F237)/F237)</f>
        <v>0.0728908333333334</v>
      </c>
    </row>
    <row r="238" customFormat="false" ht="15" hidden="false" customHeight="true" outlineLevel="0" collapsed="false">
      <c r="B238" s="106"/>
      <c r="C238" s="1" t="n">
        <v>2</v>
      </c>
      <c r="D238" s="34" t="n">
        <v>40</v>
      </c>
      <c r="E238" s="35" t="n">
        <v>3</v>
      </c>
      <c r="F238" s="35" t="n">
        <f aca="false">D238*E238</f>
        <v>120</v>
      </c>
      <c r="G238" s="35" t="n">
        <v>18</v>
      </c>
      <c r="H238" s="35" t="n">
        <v>120</v>
      </c>
      <c r="I238" s="35" t="n">
        <v>40</v>
      </c>
      <c r="J238" s="1" t="n">
        <v>40</v>
      </c>
      <c r="K238" s="35" t="n">
        <v>129.0558</v>
      </c>
      <c r="L238" s="35" t="n">
        <f aca="false">ABS((J238-D238)/D238)</f>
        <v>0</v>
      </c>
      <c r="M238" s="36" t="n">
        <f aca="false">ABS((K238-F238)/F238)</f>
        <v>0.0754650000000001</v>
      </c>
    </row>
    <row r="239" customFormat="false" ht="15" hidden="false" customHeight="true" outlineLevel="0" collapsed="false">
      <c r="B239" s="106"/>
      <c r="C239" s="1" t="n">
        <v>3</v>
      </c>
      <c r="D239" s="34" t="n">
        <v>70</v>
      </c>
      <c r="E239" s="35" t="n">
        <v>3</v>
      </c>
      <c r="F239" s="35" t="n">
        <f aca="false">D239*E239</f>
        <v>210</v>
      </c>
      <c r="G239" s="35" t="n">
        <v>18</v>
      </c>
      <c r="H239" s="35" t="n">
        <v>120</v>
      </c>
      <c r="I239" s="35" t="n">
        <v>40</v>
      </c>
      <c r="J239" s="1" t="n">
        <v>63</v>
      </c>
      <c r="K239" s="35" t="n">
        <v>188.1083</v>
      </c>
      <c r="L239" s="35" t="n">
        <f aca="false">ABS((J239-D239)/D239)</f>
        <v>0.1</v>
      </c>
      <c r="M239" s="36" t="n">
        <f aca="false">ABS((K239-F239)/F239)</f>
        <v>0.10424619047619</v>
      </c>
    </row>
    <row r="240" customFormat="false" ht="15" hidden="false" customHeight="true" outlineLevel="0" collapsed="false">
      <c r="B240" s="106"/>
      <c r="C240" s="1" t="n">
        <v>4</v>
      </c>
      <c r="D240" s="34" t="n">
        <v>60</v>
      </c>
      <c r="E240" s="35" t="n">
        <v>3</v>
      </c>
      <c r="F240" s="35" t="n">
        <f aca="false">D240*E240</f>
        <v>180</v>
      </c>
      <c r="G240" s="35" t="n">
        <v>18</v>
      </c>
      <c r="H240" s="35" t="n">
        <v>120</v>
      </c>
      <c r="I240" s="35" t="n">
        <v>40</v>
      </c>
      <c r="J240" s="1" t="n">
        <v>55</v>
      </c>
      <c r="K240" s="35" t="n">
        <v>158.4368</v>
      </c>
      <c r="L240" s="35" t="n">
        <f aca="false">ABS((J240-D240)/D240)</f>
        <v>0.0833333333333333</v>
      </c>
      <c r="M240" s="36" t="n">
        <f aca="false">ABS((K240-F240)/F240)</f>
        <v>0.119795555555556</v>
      </c>
    </row>
    <row r="241" customFormat="false" ht="15" hidden="false" customHeight="true" outlineLevel="0" collapsed="false">
      <c r="B241" s="106"/>
      <c r="C241" s="1" t="n">
        <v>5</v>
      </c>
      <c r="D241" s="34" t="n">
        <v>60</v>
      </c>
      <c r="E241" s="35" t="n">
        <v>3</v>
      </c>
      <c r="F241" s="35" t="n">
        <f aca="false">D241*E241</f>
        <v>180</v>
      </c>
      <c r="G241" s="35" t="n">
        <v>18</v>
      </c>
      <c r="H241" s="35" t="n">
        <v>120</v>
      </c>
      <c r="I241" s="35" t="n">
        <v>40</v>
      </c>
      <c r="J241" s="1" t="n">
        <v>48</v>
      </c>
      <c r="K241" s="35" t="n">
        <v>142.4346</v>
      </c>
      <c r="L241" s="35" t="n">
        <f aca="false">ABS((J241-D241)/D241)</f>
        <v>0.2</v>
      </c>
      <c r="M241" s="36" t="n">
        <f aca="false">ABS((K241-F241)/F241)</f>
        <v>0.208696666666667</v>
      </c>
    </row>
    <row r="242" customFormat="false" ht="15" hidden="false" customHeight="true" outlineLevel="0" collapsed="false">
      <c r="B242" s="106"/>
      <c r="C242" s="1" t="n">
        <v>6</v>
      </c>
      <c r="D242" s="34" t="n">
        <v>60</v>
      </c>
      <c r="E242" s="35" t="n">
        <v>3</v>
      </c>
      <c r="F242" s="35" t="n">
        <f aca="false">D242*E242</f>
        <v>180</v>
      </c>
      <c r="G242" s="35" t="n">
        <v>18</v>
      </c>
      <c r="H242" s="35" t="n">
        <v>120</v>
      </c>
      <c r="I242" s="35" t="n">
        <v>40</v>
      </c>
      <c r="J242" s="1" t="n">
        <v>47</v>
      </c>
      <c r="K242" s="35" t="n">
        <v>133.7377</v>
      </c>
      <c r="L242" s="35" t="n">
        <f aca="false">ABS((J242-D242)/D242)</f>
        <v>0.216666666666667</v>
      </c>
      <c r="M242" s="36" t="n">
        <f aca="false">ABS((K242-F242)/F242)</f>
        <v>0.257012777777778</v>
      </c>
    </row>
    <row r="243" customFormat="false" ht="15" hidden="false" customHeight="true" outlineLevel="0" collapsed="false">
      <c r="B243" s="106"/>
      <c r="C243" s="108" t="s">
        <v>101</v>
      </c>
      <c r="D243" s="109" t="n">
        <f aca="false">SUM(D237:D242)</f>
        <v>330</v>
      </c>
      <c r="E243" s="110" t="s">
        <v>102</v>
      </c>
      <c r="F243" s="110" t="n">
        <f aca="false">SUM(F237:F242)</f>
        <v>990</v>
      </c>
      <c r="G243" s="110" t="s">
        <v>102</v>
      </c>
      <c r="H243" s="110" t="s">
        <v>102</v>
      </c>
      <c r="I243" s="110" t="s">
        <v>102</v>
      </c>
      <c r="J243" s="109" t="n">
        <f aca="false">SUM(J237:J242)</f>
        <v>293</v>
      </c>
      <c r="K243" s="110" t="n">
        <f aca="false">SUM(K237:K242)</f>
        <v>880.5201</v>
      </c>
      <c r="L243" s="63"/>
      <c r="M243" s="64"/>
    </row>
  </sheetData>
  <mergeCells count="30">
    <mergeCell ref="B3:B9"/>
    <mergeCell ref="B10:B15"/>
    <mergeCell ref="B16:B23"/>
    <mergeCell ref="B24:B30"/>
    <mergeCell ref="B31:B38"/>
    <mergeCell ref="B39:B44"/>
    <mergeCell ref="B45:B46"/>
    <mergeCell ref="B47:B53"/>
    <mergeCell ref="B54:B57"/>
    <mergeCell ref="B58:B59"/>
    <mergeCell ref="B60:B61"/>
    <mergeCell ref="B64:B75"/>
    <mergeCell ref="B76:B83"/>
    <mergeCell ref="B84:B89"/>
    <mergeCell ref="B90:B95"/>
    <mergeCell ref="B96:B104"/>
    <mergeCell ref="B105:B108"/>
    <mergeCell ref="B109:B114"/>
    <mergeCell ref="B115:B124"/>
    <mergeCell ref="B125:B136"/>
    <mergeCell ref="B137:B162"/>
    <mergeCell ref="B163:B169"/>
    <mergeCell ref="B170:B185"/>
    <mergeCell ref="B186:B201"/>
    <mergeCell ref="B202:B210"/>
    <mergeCell ref="B214:B218"/>
    <mergeCell ref="B219:B222"/>
    <mergeCell ref="B223:B228"/>
    <mergeCell ref="B229:B236"/>
    <mergeCell ref="B237:B24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Brett Fassler</dc:creator>
  <dc:description/>
  <dc:language>en-US</dc:language>
  <cp:lastModifiedBy>Md Rafi Islam</cp:lastModifiedBy>
  <dcterms:modified xsi:type="dcterms:W3CDTF">2026-08-04T21:56:52Z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